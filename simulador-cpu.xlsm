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1E921C85-3388-4061-9905-05F349477F93}" xr6:coauthVersionLast="47" xr6:coauthVersionMax="47" xr10:uidLastSave="{00000000-0000-0000-0000-000000000000}"/>
  <bookViews>
    <workbookView xWindow="-108" yWindow="-108" windowWidth="23256" windowHeight="12456" activeTab="3" xr2:uid="{EB1C59BD-B596-4D8C-A629-9311C5F304DD}"/>
  </bookViews>
  <sheets>
    <sheet name="CPU" sheetId="4" r:id="rId1"/>
    <sheet name="Memoria" sheetId="3" r:id="rId2"/>
    <sheet name="RAM" sheetId="2" r:id="rId3"/>
    <sheet name="Inspeccion" sheetId="1" r:id="rId4"/>
  </sheets>
  <functionGroups builtInGroupCount="19"/>
  <definedNames>
    <definedName name="_xlnm._FilterDatabase" localSheetId="3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  <c r="D11" i="4"/>
  <c r="C11" i="4"/>
  <c r="D10" i="4"/>
  <c r="C10" i="4"/>
  <c r="D9" i="4"/>
  <c r="C9" i="4"/>
  <c r="D8" i="4"/>
  <c r="C8" i="4"/>
  <c r="D7" i="4"/>
  <c r="C7" i="4"/>
  <c r="D6" i="4"/>
  <c r="C6" i="4"/>
</calcChain>
</file>

<file path=xl/sharedStrings.xml><?xml version="1.0" encoding="utf-8"?>
<sst xmlns="http://schemas.openxmlformats.org/spreadsheetml/2006/main" count="64" uniqueCount="60">
  <si>
    <t>Fila 1 = casilla 0. No escribas la columna A. Usa Escribir en la hoja Memoria.</t>
  </si>
  <si>
    <t>CPU de 8 bits  -  registros, ALU y banderas</t>
  </si>
  <si>
    <t>Los registros estan dentro del procesador. Escribe numeros en AX y BX (naranja) y pulsa una operacion. La ALU calcula en 8 bits y enciende las banderas.</t>
  </si>
  <si>
    <t>REGISTROS</t>
  </si>
  <si>
    <t>Nombre</t>
  </si>
  <si>
    <t>Decimal</t>
  </si>
  <si>
    <t>Hex</t>
  </si>
  <si>
    <t>Binario</t>
  </si>
  <si>
    <t>Para que sirve</t>
  </si>
  <si>
    <t>PC</t>
  </si>
  <si>
    <t>Direccion de la siguiente instruccion</t>
  </si>
  <si>
    <t>IR</t>
  </si>
  <si>
    <t>Instruccion que se esta ejecutando</t>
  </si>
  <si>
    <t>MAR</t>
  </si>
  <si>
    <t>Casilla de memoria que se va a leer o escribir</t>
  </si>
  <si>
    <t>MDR</t>
  </si>
  <si>
    <t>Dato que acaba de entrar o salir de la RAM</t>
  </si>
  <si>
    <t>AX</t>
  </si>
  <si>
    <t>Acumulador. Aqui queda el resultado de la ALU</t>
  </si>
  <si>
    <t>BX</t>
  </si>
  <si>
    <t>Segundo registro de proposito general</t>
  </si>
  <si>
    <t>BANDERAS</t>
  </si>
  <si>
    <t>ZF</t>
  </si>
  <si>
    <t>CF</t>
  </si>
  <si>
    <t>SF</t>
  </si>
  <si>
    <t>ZF = 1 si el resultado fue 0.   CF = 1 si hubo acarreo (suma) o prestamo (resta).   SF = 1 si el bit 7 vale 1, o sea un numero negativo en complemento a 2.</t>
  </si>
  <si>
    <t>ALU</t>
  </si>
  <si>
    <t>ADD, SUB, AND, OR, XOR y CMP usan AX y BX. INC, DEC y NOT usan solo AX. El resultado queda en AX, excepto CMP, que solo cambia las banderas.</t>
  </si>
  <si>
    <t>PRUEBAS DE LA TAREA 3</t>
  </si>
  <si>
    <t>255 + 1 debe dejar AX = 0, ZF = 1 y CF = 1.
0 - 1 debe dejar AX = 255, SF = 1 y CF = 1.
CMP AX, AX debe dejar ZF = 1 y no cambiar AX.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</si>
  <si>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</si>
  <si>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</si>
  <si>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</si>
  <si>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</si>
  <si>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</si>
  <si>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</si>
  <si>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</si>
  <si>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</si>
  <si>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</si>
  <si>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</si>
  <si>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</si>
  <si>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</si>
  <si>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</si>
  <si>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</si>
  <si>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</si>
  <si>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</si>
  <si>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</si>
  <si>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</si>
  <si>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</si>
  <si>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</si>
  <si>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</si>
  <si>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</si>
  <si>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</si>
  <si>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</si>
  <si>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</si>
  <si>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</si>
  <si>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</si>
  <si>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</si>
  <si>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Prueba bien: la casilla 128 vale 42. En el mapa se ve 2A, 00101010 y 42.</t>
  </si>
  <si>
    <t>Prueba bien: CMP AX, AX deja ZF=1 y AX sigue en 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</si>
</sst>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6"/>
      <color theme="1"/>
      <name val="Consolas"/>
      <family val="3"/>
    </font>
    <font>
      <sz val="14"/>
      <color theme="1"/>
      <name val="Consolas"/>
      <family val="3"/>
    </font>
    <font>
      <b/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22"/>
      <color rgb="FF282828"/>
      <name val="Consolas"/>
      <family val="3"/>
    </font>
    <font>
      <b/>
      <sz val="22"/>
      <color rgb="FF142814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3E2D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BDC3C7"/>
        <bgColor indexed="64"/>
      </patternFill>
    </fill>
    <fill>
      <patternFill patternType="solid">
        <fgColor rgb="FF2ECC7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39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0" borderId="0" xfId="0" applyFont="1"/>
    <xf numFmtId="0" fontId="6" fillId="2" borderId="0" xfId="0" applyFont="1" applyFill="1"/>
    <xf numFmtId="0" fontId="1" fillId="4" borderId="0" xfId="0" applyFont="1" applyFill="1"/>
    <xf numFmtId="0" fontId="9" fillId="0" borderId="0" xfId="0" applyFont="1" applyAlignment="1">
      <alignment horizontal="center"/>
    </xf>
    <xf numFmtId="0" fontId="7" fillId="0" borderId="1" xfId="0" applyFont="1" applyBorder="1"/>
    <xf numFmtId="1" fontId="8" fillId="5" borderId="0" xfId="0" applyNumberFormat="1" applyFont="1" applyFill="1" applyAlignment="1" applyProtection="1">
      <alignment horizontal="center"/>
    </xf>
    <xf numFmtId="1" fontId="8" fillId="6" borderId="0" xfId="0" applyNumberFormat="1" applyFont="1" applyFill="1" applyAlignment="1" applyProtection="1">
      <alignment horizontal="center"/>
      <protection locked="0"/>
    </xf>
    <xf numFmtId="0" fontId="6" fillId="2" borderId="0" xfId="0" applyFont="1" applyFill="1"/>
    <xf numFmtId="0" fontId="10" fillId="0" borderId="0" xfId="0" applyFont="1" applyAlignment="1">
      <alignment horizontal="center"/>
    </xf>
    <xf numFmtId="0" fontId="0" fillId="0" borderId="0" xfId="0" applyAlignment="1">
      <alignment wrapText="1"/>
    </xf>
    <xf numFmtId="0" fontId="11" fillId="5" borderId="0" xfId="0" applyFont="1" applyFill="1"/>
    <xf numFmtId="0" fontId="12" fillId="0" borderId="0" xfId="0" applyFont="1"/>
    <xf numFmtId="0" fontId="12" fillId="7" borderId="0" xfId="0" applyFont="1" applyFill="1"/>
    <xf numFmtId="0" fontId="8" fillId="6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3" fillId="8" borderId="0" xfId="0" applyFont="1" applyFill="1" applyAlignment="1">
      <alignment horizontal="center"/>
    </xf>
    <xf numFmtId="0" fontId="14" fillId="9" borderId="2" xfId="0" applyFont="1" applyFill="1" applyBorder="1" applyAlignment="1" applyProtection="1">
      <alignment horizontal="center" vertical="center" wrapText="1"/>
    </xf>
    <xf numFmtId="0" fontId="13" fillId="7" borderId="0" xfId="0" applyFont="1" applyFill="1" applyAlignment="1">
      <alignment horizontal="center"/>
    </xf>
    <xf numFmtId="0" fontId="14" fillId="10" borderId="2" xfId="0" applyFont="1" applyFill="1" applyBorder="1" applyAlignment="1" applyProtection="1">
      <alignment horizontal="center" vertical="center" wrapText="1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9" borderId="0" xfId="0" applyFont="1" applyFill="1"/>
    <xf numFmtId="0" fontId="2" fillId="10" borderId="0" xfId="0" applyFont="1" applyFill="1"/>
    <xf numFmtId="0" fontId="14" fillId="11" borderId="2" xfId="0" applyFont="1" applyFill="1" applyBorder="1" applyAlignment="1" applyProtection="1">
      <alignment horizontal="center" vertical="center" wrapText="1"/>
    </xf>
    <xf numFmtId="0" fontId="15" fillId="12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17</xdr:row>
      <xdr:rowOff>0</xdr:rowOff>
    </xdr:from>
    <xdr:to>
      <xdr:col>1</xdr:col>
      <xdr:colOff>706120</xdr:colOff>
      <xdr:row>17</xdr:row>
      <xdr:rowOff>355600</xdr:rowOff>
    </xdr:to>
    <xdr:sp macro="BotonADD" textlink="">
      <xdr:nvSpPr>
        <xdr:cNvPr id="2" name="ADD">
          <a:extLst>
            <a:ext uri="{FF2B5EF4-FFF2-40B4-BE49-F238E27FC236}">
              <a16:creationId xmlns:a16="http://schemas.microsoft.com/office/drawing/2014/main" id="{D749793F-5D39-49D1-9B5B-DAA15DEF37F6}"/>
            </a:ext>
          </a:extLst>
        </xdr:cNvPr>
        <xdr:cNvSpPr/>
      </xdr:nvSpPr>
      <xdr:spPr>
        <a:xfrm>
          <a:off x="101600" y="4823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2</xdr:col>
      <xdr:colOff>40640</xdr:colOff>
      <xdr:row>17</xdr:row>
      <xdr:rowOff>0</xdr:rowOff>
    </xdr:from>
    <xdr:to>
      <xdr:col>3</xdr:col>
      <xdr:colOff>645160</xdr:colOff>
      <xdr:row>17</xdr:row>
      <xdr:rowOff>355600</xdr:rowOff>
    </xdr:to>
    <xdr:sp macro="BotonSUB" textlink="">
      <xdr:nvSpPr>
        <xdr:cNvPr id="3" name="SUB">
          <a:extLst>
            <a:ext uri="{FF2B5EF4-FFF2-40B4-BE49-F238E27FC236}">
              <a16:creationId xmlns:a16="http://schemas.microsoft.com/office/drawing/2014/main" id="{DB1F2EC1-E291-4D7F-905D-3766C848C679}"/>
            </a:ext>
          </a:extLst>
        </xdr:cNvPr>
        <xdr:cNvSpPr/>
      </xdr:nvSpPr>
      <xdr:spPr>
        <a:xfrm>
          <a:off x="1625600" y="4823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3</xdr:col>
      <xdr:colOff>772160</xdr:colOff>
      <xdr:row>17</xdr:row>
      <xdr:rowOff>0</xdr:rowOff>
    </xdr:from>
    <xdr:to>
      <xdr:col>5</xdr:col>
      <xdr:colOff>584200</xdr:colOff>
      <xdr:row>17</xdr:row>
      <xdr:rowOff>355600</xdr:rowOff>
    </xdr:to>
    <xdr:sp macro="BotonINC" textlink="">
      <xdr:nvSpPr>
        <xdr:cNvPr id="4" name="INC">
          <a:extLst>
            <a:ext uri="{FF2B5EF4-FFF2-40B4-BE49-F238E27FC236}">
              <a16:creationId xmlns:a16="http://schemas.microsoft.com/office/drawing/2014/main" id="{E976E905-A278-4F76-AFB0-DD37C7D656FD}"/>
            </a:ext>
          </a:extLst>
        </xdr:cNvPr>
        <xdr:cNvSpPr/>
      </xdr:nvSpPr>
      <xdr:spPr>
        <a:xfrm>
          <a:off x="3149600" y="4823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5</xdr:col>
      <xdr:colOff>711200</xdr:colOff>
      <xdr:row>17</xdr:row>
      <xdr:rowOff>0</xdr:rowOff>
    </xdr:from>
    <xdr:to>
      <xdr:col>7</xdr:col>
      <xdr:colOff>523240</xdr:colOff>
      <xdr:row>17</xdr:row>
      <xdr:rowOff>355600</xdr:rowOff>
    </xdr:to>
    <xdr:sp macro="BotonDEC" textlink="">
      <xdr:nvSpPr>
        <xdr:cNvPr id="5" name="DEC">
          <a:extLst>
            <a:ext uri="{FF2B5EF4-FFF2-40B4-BE49-F238E27FC236}">
              <a16:creationId xmlns:a16="http://schemas.microsoft.com/office/drawing/2014/main" id="{468B13A0-E68F-44D7-B14C-9ACF59A03227}"/>
            </a:ext>
          </a:extLst>
        </xdr:cNvPr>
        <xdr:cNvSpPr/>
      </xdr:nvSpPr>
      <xdr:spPr>
        <a:xfrm>
          <a:off x="4673600" y="4823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7</xdr:col>
      <xdr:colOff>650240</xdr:colOff>
      <xdr:row>17</xdr:row>
      <xdr:rowOff>0</xdr:rowOff>
    </xdr:from>
    <xdr:to>
      <xdr:col>9</xdr:col>
      <xdr:colOff>462280</xdr:colOff>
      <xdr:row>17</xdr:row>
      <xdr:rowOff>355600</xdr:rowOff>
    </xdr:to>
    <xdr:sp macro="BotonAND" textlink="">
      <xdr:nvSpPr>
        <xdr:cNvPr id="6" name="AND">
          <a:extLst>
            <a:ext uri="{FF2B5EF4-FFF2-40B4-BE49-F238E27FC236}">
              <a16:creationId xmlns:a16="http://schemas.microsoft.com/office/drawing/2014/main" id="{054726C5-1F09-4FAD-B803-5BB16B230FF2}"/>
            </a:ext>
          </a:extLst>
        </xdr:cNvPr>
        <xdr:cNvSpPr/>
      </xdr:nvSpPr>
      <xdr:spPr>
        <a:xfrm>
          <a:off x="6197600" y="4823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18</xdr:row>
      <xdr:rowOff>0</xdr:rowOff>
    </xdr:from>
    <xdr:to>
      <xdr:col>1</xdr:col>
      <xdr:colOff>706120</xdr:colOff>
      <xdr:row>18</xdr:row>
      <xdr:rowOff>355600</xdr:rowOff>
    </xdr:to>
    <xdr:sp macro="BotonOR" textlink="">
      <xdr:nvSpPr>
        <xdr:cNvPr id="7" name="OR">
          <a:extLst>
            <a:ext uri="{FF2B5EF4-FFF2-40B4-BE49-F238E27FC236}">
              <a16:creationId xmlns:a16="http://schemas.microsoft.com/office/drawing/2014/main" id="{11FDB727-A079-4AFF-A3FC-D3AA550ACA55}"/>
            </a:ext>
          </a:extLst>
        </xdr:cNvPr>
        <xdr:cNvSpPr/>
      </xdr:nvSpPr>
      <xdr:spPr>
        <a:xfrm>
          <a:off x="101600" y="52806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2</xdr:col>
      <xdr:colOff>40640</xdr:colOff>
      <xdr:row>18</xdr:row>
      <xdr:rowOff>0</xdr:rowOff>
    </xdr:from>
    <xdr:to>
      <xdr:col>3</xdr:col>
      <xdr:colOff>645160</xdr:colOff>
      <xdr:row>18</xdr:row>
      <xdr:rowOff>355600</xdr:rowOff>
    </xdr:to>
    <xdr:sp macro="BotonXOR" textlink="">
      <xdr:nvSpPr>
        <xdr:cNvPr id="8" name="XOR">
          <a:extLst>
            <a:ext uri="{FF2B5EF4-FFF2-40B4-BE49-F238E27FC236}">
              <a16:creationId xmlns:a16="http://schemas.microsoft.com/office/drawing/2014/main" id="{D6F9681B-DDED-49D3-BF9B-D417D56659EE}"/>
            </a:ext>
          </a:extLst>
        </xdr:cNvPr>
        <xdr:cNvSpPr/>
      </xdr:nvSpPr>
      <xdr:spPr>
        <a:xfrm>
          <a:off x="1625600" y="52806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3</xdr:col>
      <xdr:colOff>772160</xdr:colOff>
      <xdr:row>18</xdr:row>
      <xdr:rowOff>0</xdr:rowOff>
    </xdr:from>
    <xdr:to>
      <xdr:col>5</xdr:col>
      <xdr:colOff>584200</xdr:colOff>
      <xdr:row>18</xdr:row>
      <xdr:rowOff>355600</xdr:rowOff>
    </xdr:to>
    <xdr:sp macro="BotonNOT" textlink="">
      <xdr:nvSpPr>
        <xdr:cNvPr id="9" name="NOT">
          <a:extLst>
            <a:ext uri="{FF2B5EF4-FFF2-40B4-BE49-F238E27FC236}">
              <a16:creationId xmlns:a16="http://schemas.microsoft.com/office/drawing/2014/main" id="{EEBDA206-DF64-44BC-BD40-E26BD5BB80D5}"/>
            </a:ext>
          </a:extLst>
        </xdr:cNvPr>
        <xdr:cNvSpPr/>
      </xdr:nvSpPr>
      <xdr:spPr>
        <a:xfrm>
          <a:off x="3149600" y="52806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5</xdr:col>
      <xdr:colOff>711200</xdr:colOff>
      <xdr:row>18</xdr:row>
      <xdr:rowOff>0</xdr:rowOff>
    </xdr:from>
    <xdr:to>
      <xdr:col>7</xdr:col>
      <xdr:colOff>523240</xdr:colOff>
      <xdr:row>18</xdr:row>
      <xdr:rowOff>355600</xdr:rowOff>
    </xdr:to>
    <xdr:sp macro="BotonCMP" textlink="">
      <xdr:nvSpPr>
        <xdr:cNvPr id="10" name="CMP">
          <a:extLst>
            <a:ext uri="{FF2B5EF4-FFF2-40B4-BE49-F238E27FC236}">
              <a16:creationId xmlns:a16="http://schemas.microsoft.com/office/drawing/2014/main" id="{C537ED32-4057-45FD-8DF3-9EA16CA7D902}"/>
            </a:ext>
          </a:extLst>
        </xdr:cNvPr>
        <xdr:cNvSpPr/>
      </xdr:nvSpPr>
      <xdr:spPr>
        <a:xfrm>
          <a:off x="4673600" y="52806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7</xdr:col>
      <xdr:colOff>650240</xdr:colOff>
      <xdr:row>18</xdr:row>
      <xdr:rowOff>0</xdr:rowOff>
    </xdr:from>
    <xdr:to>
      <xdr:col>9</xdr:col>
      <xdr:colOff>462280</xdr:colOff>
      <xdr:row>18</xdr:row>
      <xdr:rowOff>355600</xdr:rowOff>
    </xdr:to>
    <xdr:sp macro="BotonResetCPU" textlink="">
      <xdr:nvSpPr>
        <xdr:cNvPr id="11" name="Reset">
          <a:extLst>
            <a:ext uri="{FF2B5EF4-FFF2-40B4-BE49-F238E27FC236}">
              <a16:creationId xmlns:a16="http://schemas.microsoft.com/office/drawing/2014/main" id="{84BC78C4-1AF5-42AE-B0D2-EF9D5313161B}"/>
            </a:ext>
          </a:extLst>
        </xdr:cNvPr>
        <xdr:cNvSpPr/>
      </xdr:nvSpPr>
      <xdr:spPr>
        <a:xfrm>
          <a:off x="6197600" y="52806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24</xdr:row>
      <xdr:rowOff>0</xdr:rowOff>
    </xdr:from>
    <xdr:to>
      <xdr:col>2</xdr:col>
      <xdr:colOff>421640</xdr:colOff>
      <xdr:row>24</xdr:row>
      <xdr:rowOff>355600</xdr:rowOff>
    </xdr:to>
    <xdr:sp macro="BotonPruebaADD" textlink="">
      <xdr:nvSpPr>
        <xdr:cNvPr id="12" name="PruebaFF">
          <a:extLst>
            <a:ext uri="{FF2B5EF4-FFF2-40B4-BE49-F238E27FC236}">
              <a16:creationId xmlns:a16="http://schemas.microsoft.com/office/drawing/2014/main" id="{42AFBE4C-47DA-48F2-87C9-6CAAD94973FE}"/>
            </a:ext>
          </a:extLst>
        </xdr:cNvPr>
        <xdr:cNvSpPr/>
      </xdr:nvSpPr>
      <xdr:spPr>
        <a:xfrm>
          <a:off x="101600" y="67741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2</xdr:col>
      <xdr:colOff>548640</xdr:colOff>
      <xdr:row>24</xdr:row>
      <xdr:rowOff>0</xdr:rowOff>
    </xdr:from>
    <xdr:to>
      <xdr:col>5</xdr:col>
      <xdr:colOff>76200</xdr:colOff>
      <xdr:row>24</xdr:row>
      <xdr:rowOff>355600</xdr:rowOff>
    </xdr:to>
    <xdr:sp macro="BotonPruebaSUB" textlink="">
      <xdr:nvSpPr>
        <xdr:cNvPr id="13" name="Prueba00">
          <a:extLst>
            <a:ext uri="{FF2B5EF4-FFF2-40B4-BE49-F238E27FC236}">
              <a16:creationId xmlns:a16="http://schemas.microsoft.com/office/drawing/2014/main" id="{5D916EE5-6C7B-47DC-97B1-EF3B57C8B5C7}"/>
            </a:ext>
          </a:extLst>
        </xdr:cNvPr>
        <xdr:cNvSpPr/>
      </xdr:nvSpPr>
      <xdr:spPr>
        <a:xfrm>
          <a:off x="2133600" y="67741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5</xdr:col>
      <xdr:colOff>203200</xdr:colOff>
      <xdr:row>24</xdr:row>
      <xdr:rowOff>0</xdr:rowOff>
    </xdr:from>
    <xdr:to>
      <xdr:col>7</xdr:col>
      <xdr:colOff>523240</xdr:colOff>
      <xdr:row>24</xdr:row>
      <xdr:rowOff>355600</xdr:rowOff>
    </xdr:to>
    <xdr:sp macro="BotonPruebaCMP" textlink="">
      <xdr:nvSpPr>
        <xdr:cNvPr id="14" name="PruebaCMP">
          <a:extLst>
            <a:ext uri="{FF2B5EF4-FFF2-40B4-BE49-F238E27FC236}">
              <a16:creationId xmlns:a16="http://schemas.microsoft.com/office/drawing/2014/main" id="{4135BCCA-DC23-44DA-8E0A-47C766D75413}"/>
            </a:ext>
          </a:extLst>
        </xdr:cNvPr>
        <xdr:cNvSpPr/>
      </xdr:nvSpPr>
      <xdr:spPr>
        <a:xfrm>
          <a:off x="4165600" y="67741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0851FDD8-8AE1-4B93-B159-880DB7382D1A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5257645B-730B-461A-BE6E-9AD24CADC01D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D260127D-647A-4FF8-8489-0335964AB75B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624F0700-94D7-4592-8F3B-B07E82D80AEF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03D88-9867-4690-BE23-FC9B90FAB641}">
  <sheetPr codeName="Hoja1"/>
  <dimension ref="A1:I28"/>
  <sheetViews>
    <sheetView workbookViewId="0">
      <selection sqref="A1:I1"/>
    </sheetView>
  </sheetViews>
  <sheetFormatPr baseColWidth="10" defaultRowHeight="14.4" x14ac:dyDescent="0.3"/>
  <cols>
    <col min="1" max="1" width="14.77734375" customWidth="1"/>
    <col min="2" max="3" width="12.77734375" customWidth="1"/>
    <col min="4" max="4" width="14.77734375" customWidth="1"/>
    <col min="5" max="5" width="18.77734375" customWidth="1"/>
    <col min="6" max="8" width="8.77734375" customWidth="1"/>
    <col min="9" max="9" width="10.77734375" customWidth="1"/>
  </cols>
  <sheetData>
    <row r="1" spans="1:9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</row>
    <row r="2" spans="1:9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</row>
    <row r="4" spans="1:9" ht="18" x14ac:dyDescent="0.35">
      <c r="A4" s="10" t="s">
        <v>3</v>
      </c>
      <c r="B4" s="9"/>
      <c r="C4" s="9"/>
      <c r="D4" s="9"/>
      <c r="E4" s="9"/>
    </row>
    <row r="5" spans="1:9" x14ac:dyDescent="0.3">
      <c r="A5" s="11" t="s">
        <v>4</v>
      </c>
      <c r="B5" s="11" t="s">
        <v>5</v>
      </c>
      <c r="C5" s="11" t="s">
        <v>6</v>
      </c>
      <c r="D5" s="11" t="s">
        <v>7</v>
      </c>
      <c r="E5" s="11" t="s">
        <v>8</v>
      </c>
    </row>
    <row r="6" spans="1:9" ht="25.95" customHeight="1" x14ac:dyDescent="0.4">
      <c r="A6" s="13" t="s">
        <v>9</v>
      </c>
      <c r="B6" s="14">
        <v>0</v>
      </c>
      <c r="C6" s="12" t="str">
        <f>DEC2HEX(B6,2)&amp;"h"</f>
        <v>00h</v>
      </c>
      <c r="D6" s="12" t="str">
        <f>DEC2BIN(B6,8)</f>
        <v>00000000</v>
      </c>
      <c r="E6" t="s">
        <v>10</v>
      </c>
    </row>
    <row r="7" spans="1:9" ht="25.95" customHeight="1" x14ac:dyDescent="0.4">
      <c r="A7" s="13" t="s">
        <v>11</v>
      </c>
      <c r="B7" s="14">
        <v>0</v>
      </c>
      <c r="C7" s="12" t="str">
        <f>DEC2HEX(B7,2)&amp;"h"</f>
        <v>00h</v>
      </c>
      <c r="D7" s="12" t="str">
        <f>DEC2BIN(B7,8)</f>
        <v>00000000</v>
      </c>
      <c r="E7" t="s">
        <v>12</v>
      </c>
    </row>
    <row r="8" spans="1:9" ht="25.95" customHeight="1" x14ac:dyDescent="0.4">
      <c r="A8" s="13" t="s">
        <v>13</v>
      </c>
      <c r="B8" s="14">
        <v>128</v>
      </c>
      <c r="C8" s="12" t="str">
        <f>DEC2HEX(B8,2)&amp;"h"</f>
        <v>80h</v>
      </c>
      <c r="D8" s="12" t="str">
        <f>DEC2BIN(B8,8)</f>
        <v>10000000</v>
      </c>
      <c r="E8" t="s">
        <v>14</v>
      </c>
    </row>
    <row r="9" spans="1:9" ht="25.95" customHeight="1" x14ac:dyDescent="0.4">
      <c r="A9" s="13" t="s">
        <v>15</v>
      </c>
      <c r="B9" s="14">
        <v>42</v>
      </c>
      <c r="C9" s="12" t="str">
        <f>DEC2HEX(B9,2)&amp;"h"</f>
        <v>2Ah</v>
      </c>
      <c r="D9" s="12" t="str">
        <f>DEC2BIN(B9,8)</f>
        <v>00101010</v>
      </c>
      <c r="E9" t="s">
        <v>16</v>
      </c>
    </row>
    <row r="10" spans="1:9" ht="25.95" customHeight="1" x14ac:dyDescent="0.4">
      <c r="A10" s="13" t="s">
        <v>17</v>
      </c>
      <c r="B10" s="15">
        <v>7</v>
      </c>
      <c r="C10" s="12" t="str">
        <f>DEC2HEX(B10,2)&amp;"h"</f>
        <v>07h</v>
      </c>
      <c r="D10" s="12" t="str">
        <f>DEC2BIN(B10,8)</f>
        <v>00000111</v>
      </c>
      <c r="E10" t="s">
        <v>18</v>
      </c>
    </row>
    <row r="11" spans="1:9" ht="25.95" customHeight="1" x14ac:dyDescent="0.4">
      <c r="A11" s="13" t="s">
        <v>19</v>
      </c>
      <c r="B11" s="15">
        <v>7</v>
      </c>
      <c r="C11" s="12" t="str">
        <f>DEC2HEX(B11,2)&amp;"h"</f>
        <v>07h</v>
      </c>
      <c r="D11" s="12" t="str">
        <f>DEC2BIN(B11,8)</f>
        <v>00000111</v>
      </c>
      <c r="E11" t="s">
        <v>20</v>
      </c>
    </row>
    <row r="13" spans="1:9" ht="31.95" customHeight="1" x14ac:dyDescent="0.5">
      <c r="A13" s="16" t="s">
        <v>21</v>
      </c>
      <c r="D13" s="17" t="s">
        <v>22</v>
      </c>
      <c r="E13" s="38">
        <v>1</v>
      </c>
      <c r="F13" s="17" t="s">
        <v>23</v>
      </c>
      <c r="G13" s="37">
        <v>0</v>
      </c>
      <c r="H13" s="17" t="s">
        <v>24</v>
      </c>
      <c r="I13" s="37">
        <v>0</v>
      </c>
    </row>
    <row r="14" spans="1:9" ht="31.95" customHeight="1" x14ac:dyDescent="0.3">
      <c r="A14" s="18" t="s">
        <v>25</v>
      </c>
      <c r="B14" s="18"/>
      <c r="C14" s="18"/>
      <c r="D14" s="18"/>
      <c r="E14" s="18"/>
      <c r="F14" s="18"/>
      <c r="G14" s="18"/>
      <c r="H14" s="18"/>
      <c r="I14" s="18"/>
    </row>
    <row r="16" spans="1:9" ht="18" x14ac:dyDescent="0.35">
      <c r="A16" s="10" t="s">
        <v>26</v>
      </c>
      <c r="B16" s="9"/>
      <c r="C16" s="9"/>
      <c r="D16" s="9"/>
      <c r="E16" s="9"/>
      <c r="F16" s="9"/>
      <c r="G16" s="9"/>
      <c r="H16" s="9"/>
      <c r="I16" s="9"/>
    </row>
    <row r="17" spans="1:9" x14ac:dyDescent="0.3">
      <c r="A17" s="3" t="s">
        <v>27</v>
      </c>
      <c r="B17" s="3"/>
      <c r="C17" s="3"/>
      <c r="D17" s="3"/>
      <c r="E17" s="3"/>
      <c r="F17" s="3"/>
      <c r="G17" s="3"/>
      <c r="H17" s="3"/>
      <c r="I17" s="3"/>
    </row>
    <row r="18" spans="1:9" ht="36" customHeight="1" x14ac:dyDescent="0.3"/>
    <row r="19" spans="1:9" ht="36" customHeight="1" x14ac:dyDescent="0.3"/>
    <row r="22" spans="1:9" ht="24" customHeight="1" x14ac:dyDescent="0.35">
      <c r="A22" s="19" t="s">
        <v>59</v>
      </c>
      <c r="B22" s="3"/>
      <c r="C22" s="3"/>
      <c r="D22" s="3"/>
      <c r="E22" s="3"/>
      <c r="F22" s="3"/>
      <c r="G22" s="3"/>
      <c r="H22" s="3"/>
      <c r="I22" s="3"/>
    </row>
    <row r="24" spans="1:9" x14ac:dyDescent="0.3">
      <c r="A24" s="21" t="s">
        <v>28</v>
      </c>
      <c r="B24" s="20"/>
      <c r="C24" s="20"/>
      <c r="D24" s="20"/>
      <c r="E24" s="20"/>
      <c r="F24" s="20"/>
      <c r="G24" s="20"/>
      <c r="H24" s="20"/>
      <c r="I24" s="20"/>
    </row>
    <row r="25" spans="1:9" ht="36" customHeight="1" x14ac:dyDescent="0.3"/>
    <row r="27" spans="1:9" ht="19.95" customHeight="1" x14ac:dyDescent="0.3">
      <c r="A27" s="18" t="s">
        <v>29</v>
      </c>
      <c r="B27" s="18"/>
      <c r="C27" s="18"/>
      <c r="D27" s="18"/>
      <c r="E27" s="18"/>
      <c r="F27" s="18"/>
      <c r="G27" s="18"/>
      <c r="H27" s="18"/>
      <c r="I27" s="18"/>
    </row>
    <row r="28" spans="1:9" ht="19.95" customHeight="1" x14ac:dyDescent="0.3">
      <c r="A28" s="18"/>
      <c r="B28" s="18"/>
      <c r="C28" s="18"/>
      <c r="D28" s="18"/>
      <c r="E28" s="18"/>
      <c r="F28" s="18"/>
      <c r="G28" s="18"/>
      <c r="H28" s="18"/>
      <c r="I28" s="18"/>
    </row>
  </sheetData>
  <sheetProtection sheet="1" scenarios="1"/>
  <mergeCells count="9">
    <mergeCell ref="A22:I22"/>
    <mergeCell ref="A24:I24"/>
    <mergeCell ref="A27:I28"/>
    <mergeCell ref="A1:I1"/>
    <mergeCell ref="A2:I2"/>
    <mergeCell ref="A4:E4"/>
    <mergeCell ref="A14:I14"/>
    <mergeCell ref="A16:I16"/>
    <mergeCell ref="A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C6585-C514-4759-8E2C-93ECC552304B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30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128</v>
      </c>
    </row>
    <row r="2" spans="1:26" ht="22.05" customHeight="1" x14ac:dyDescent="0.3">
      <c r="A2" s="7" t="s">
        <v>31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32</v>
      </c>
      <c r="B4" s="22">
        <v>128</v>
      </c>
      <c r="C4" s="8" t="s">
        <v>33</v>
      </c>
      <c r="D4" s="23" t="str">
        <f>DEC2HEX(B4,2)&amp;"h"</f>
        <v>80h</v>
      </c>
      <c r="E4" s="8" t="s">
        <v>13</v>
      </c>
      <c r="F4" s="23">
        <v>128</v>
      </c>
      <c r="G4" s="23" t="str">
        <f>DEC2HEX(F4,2)&amp;"h"</f>
        <v>80h</v>
      </c>
    </row>
    <row r="5" spans="1:26" ht="21" x14ac:dyDescent="0.4">
      <c r="A5" s="8" t="s">
        <v>34</v>
      </c>
      <c r="B5" s="22">
        <v>42</v>
      </c>
      <c r="C5" s="8" t="s">
        <v>35</v>
      </c>
      <c r="D5" s="23" t="str">
        <f>DEC2HEX(B5,2)</f>
        <v>2A</v>
      </c>
      <c r="E5" s="8" t="s">
        <v>15</v>
      </c>
      <c r="F5" s="23">
        <v>42</v>
      </c>
      <c r="G5" s="23" t="str">
        <f>DEC2HEX(F5,2)</f>
        <v>2A</v>
      </c>
      <c r="H5" s="23" t="str">
        <f>DEC2BIN(F5,8)</f>
        <v>00101010</v>
      </c>
    </row>
    <row r="7" spans="1:26" ht="19.95" customHeight="1" x14ac:dyDescent="0.3">
      <c r="A7" s="6" t="s">
        <v>58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31" t="s">
        <v>48</v>
      </c>
      <c r="B9" t="s">
        <v>49</v>
      </c>
      <c r="D9" s="32" t="s">
        <v>50</v>
      </c>
      <c r="E9" t="s">
        <v>51</v>
      </c>
      <c r="G9" s="33" t="s">
        <v>52</v>
      </c>
      <c r="H9" t="s">
        <v>53</v>
      </c>
    </row>
    <row r="10" spans="1:26" x14ac:dyDescent="0.3">
      <c r="A10" s="25"/>
      <c r="B10" s="26">
        <v>0</v>
      </c>
      <c r="C10" s="26">
        <v>1</v>
      </c>
      <c r="D10" s="26">
        <v>2</v>
      </c>
      <c r="E10" s="26">
        <v>3</v>
      </c>
      <c r="F10" s="26">
        <v>4</v>
      </c>
      <c r="G10" s="26">
        <v>5</v>
      </c>
      <c r="H10" s="26">
        <v>6</v>
      </c>
      <c r="I10" s="26">
        <v>7</v>
      </c>
      <c r="J10" s="26">
        <v>8</v>
      </c>
      <c r="K10" s="26">
        <v>9</v>
      </c>
      <c r="L10" s="26" t="s">
        <v>36</v>
      </c>
      <c r="M10" s="26" t="s">
        <v>37</v>
      </c>
      <c r="N10" s="26" t="s">
        <v>38</v>
      </c>
      <c r="O10" s="26" t="s">
        <v>39</v>
      </c>
      <c r="P10" s="26" t="s">
        <v>40</v>
      </c>
      <c r="Q10" s="26" t="s">
        <v>41</v>
      </c>
    </row>
    <row r="11" spans="1:26" ht="40.049999999999997" customHeight="1" x14ac:dyDescent="0.3">
      <c r="A11" s="27">
        <v>0</v>
      </c>
      <c r="B11" s="28" t="str">
        <f>DEC2HEX(RAM!A1,2)&amp;CHAR(10)&amp;DEC2BIN(RAM!A1,8)&amp;CHAR(10)&amp;RAM!A1</f>
        <v>00
00000000
0</v>
      </c>
      <c r="C11" s="28" t="str">
        <f>DEC2HEX(RAM!A2,2)&amp;CHAR(10)&amp;DEC2BIN(RAM!A2,8)&amp;CHAR(10)&amp;RAM!A2</f>
        <v>00
00000000
0</v>
      </c>
      <c r="D11" s="28" t="str">
        <f>DEC2HEX(RAM!A3,2)&amp;CHAR(10)&amp;DEC2BIN(RAM!A3,8)&amp;CHAR(10)&amp;RAM!A3</f>
        <v>00
00000000
0</v>
      </c>
      <c r="E11" s="28" t="str">
        <f>DEC2HEX(RAM!A4,2)&amp;CHAR(10)&amp;DEC2BIN(RAM!A4,8)&amp;CHAR(10)&amp;RAM!A4</f>
        <v>00
00000000
0</v>
      </c>
      <c r="F11" s="28" t="str">
        <f>DEC2HEX(RAM!A5,2)&amp;CHAR(10)&amp;DEC2BIN(RAM!A5,8)&amp;CHAR(10)&amp;RAM!A5</f>
        <v>00
00000000
0</v>
      </c>
      <c r="G11" s="28" t="str">
        <f>DEC2HEX(RAM!A6,2)&amp;CHAR(10)&amp;DEC2BIN(RAM!A6,8)&amp;CHAR(10)&amp;RAM!A6</f>
        <v>00
00000000
0</v>
      </c>
      <c r="H11" s="28" t="str">
        <f>DEC2HEX(RAM!A7,2)&amp;CHAR(10)&amp;DEC2BIN(RAM!A7,8)&amp;CHAR(10)&amp;RAM!A7</f>
        <v>00
00000000
0</v>
      </c>
      <c r="I11" s="28" t="str">
        <f>DEC2HEX(RAM!A8,2)&amp;CHAR(10)&amp;DEC2BIN(RAM!A8,8)&amp;CHAR(10)&amp;RAM!A8</f>
        <v>00
00000000
0</v>
      </c>
      <c r="J11" s="28" t="str">
        <f>DEC2HEX(RAM!A9,2)&amp;CHAR(10)&amp;DEC2BIN(RAM!A9,8)&amp;CHAR(10)&amp;RAM!A9</f>
        <v>00
00000000
0</v>
      </c>
      <c r="K11" s="28" t="str">
        <f>DEC2HEX(RAM!A10,2)&amp;CHAR(10)&amp;DEC2BIN(RAM!A10,8)&amp;CHAR(10)&amp;RAM!A10</f>
        <v>00
00000000
0</v>
      </c>
      <c r="L11" s="28" t="str">
        <f>DEC2HEX(RAM!A11,2)&amp;CHAR(10)&amp;DEC2BIN(RAM!A11,8)&amp;CHAR(10)&amp;RAM!A11</f>
        <v>00
00000000
0</v>
      </c>
      <c r="M11" s="28" t="str">
        <f>DEC2HEX(RAM!A12,2)&amp;CHAR(10)&amp;DEC2BIN(RAM!A12,8)&amp;CHAR(10)&amp;RAM!A12</f>
        <v>00
00000000
0</v>
      </c>
      <c r="N11" s="28" t="str">
        <f>DEC2HEX(RAM!A13,2)&amp;CHAR(10)&amp;DEC2BIN(RAM!A13,8)&amp;CHAR(10)&amp;RAM!A13</f>
        <v>00
00000000
0</v>
      </c>
      <c r="O11" s="28" t="str">
        <f>DEC2HEX(RAM!A14,2)&amp;CHAR(10)&amp;DEC2BIN(RAM!A14,8)&amp;CHAR(10)&amp;RAM!A14</f>
        <v>00
00000000
0</v>
      </c>
      <c r="P11" s="28" t="str">
        <f>DEC2HEX(RAM!A15,2)&amp;CHAR(10)&amp;DEC2BIN(RAM!A15,8)&amp;CHAR(10)&amp;RAM!A15</f>
        <v>00
00000000
0</v>
      </c>
      <c r="Q11" s="28" t="str">
        <f>DEC2HEX(RAM!A16,2)&amp;CHAR(10)&amp;DEC2BIN(RAM!A16,8)&amp;CHAR(10)&amp;RAM!A16</f>
        <v>00
00000000
0</v>
      </c>
    </row>
    <row r="12" spans="1:26" ht="40.049999999999997" customHeight="1" x14ac:dyDescent="0.3">
      <c r="A12" s="27">
        <v>10</v>
      </c>
      <c r="B12" s="28" t="str">
        <f>DEC2HEX(RAM!A17,2)&amp;CHAR(10)&amp;DEC2BIN(RAM!A17,8)&amp;CHAR(10)&amp;RAM!A17</f>
        <v>00
00000000
0</v>
      </c>
      <c r="C12" s="28" t="str">
        <f>DEC2HEX(RAM!A18,2)&amp;CHAR(10)&amp;DEC2BIN(RAM!A18,8)&amp;CHAR(10)&amp;RAM!A18</f>
        <v>00
00000000
0</v>
      </c>
      <c r="D12" s="28" t="str">
        <f>DEC2HEX(RAM!A19,2)&amp;CHAR(10)&amp;DEC2BIN(RAM!A19,8)&amp;CHAR(10)&amp;RAM!A19</f>
        <v>00
00000000
0</v>
      </c>
      <c r="E12" s="28" t="str">
        <f>DEC2HEX(RAM!A20,2)&amp;CHAR(10)&amp;DEC2BIN(RAM!A20,8)&amp;CHAR(10)&amp;RAM!A20</f>
        <v>00
00000000
0</v>
      </c>
      <c r="F12" s="28" t="str">
        <f>DEC2HEX(RAM!A21,2)&amp;CHAR(10)&amp;DEC2BIN(RAM!A21,8)&amp;CHAR(10)&amp;RAM!A21</f>
        <v>00
00000000
0</v>
      </c>
      <c r="G12" s="28" t="str">
        <f>DEC2HEX(RAM!A22,2)&amp;CHAR(10)&amp;DEC2BIN(RAM!A22,8)&amp;CHAR(10)&amp;RAM!A22</f>
        <v>00
00000000
0</v>
      </c>
      <c r="H12" s="28" t="str">
        <f>DEC2HEX(RAM!A23,2)&amp;CHAR(10)&amp;DEC2BIN(RAM!A23,8)&amp;CHAR(10)&amp;RAM!A23</f>
        <v>00
00000000
0</v>
      </c>
      <c r="I12" s="28" t="str">
        <f>DEC2HEX(RAM!A24,2)&amp;CHAR(10)&amp;DEC2BIN(RAM!A24,8)&amp;CHAR(10)&amp;RAM!A24</f>
        <v>00
00000000
0</v>
      </c>
      <c r="J12" s="28" t="str">
        <f>DEC2HEX(RAM!A25,2)&amp;CHAR(10)&amp;DEC2BIN(RAM!A25,8)&amp;CHAR(10)&amp;RAM!A25</f>
        <v>00
00000000
0</v>
      </c>
      <c r="K12" s="28" t="str">
        <f>DEC2HEX(RAM!A26,2)&amp;CHAR(10)&amp;DEC2BIN(RAM!A26,8)&amp;CHAR(10)&amp;RAM!A26</f>
        <v>00
00000000
0</v>
      </c>
      <c r="L12" s="28" t="str">
        <f>DEC2HEX(RAM!A27,2)&amp;CHAR(10)&amp;DEC2BIN(RAM!A27,8)&amp;CHAR(10)&amp;RAM!A27</f>
        <v>00
00000000
0</v>
      </c>
      <c r="M12" s="28" t="str">
        <f>DEC2HEX(RAM!A28,2)&amp;CHAR(10)&amp;DEC2BIN(RAM!A28,8)&amp;CHAR(10)&amp;RAM!A28</f>
        <v>00
00000000
0</v>
      </c>
      <c r="N12" s="28" t="str">
        <f>DEC2HEX(RAM!A29,2)&amp;CHAR(10)&amp;DEC2BIN(RAM!A29,8)&amp;CHAR(10)&amp;RAM!A29</f>
        <v>00
00000000
0</v>
      </c>
      <c r="O12" s="28" t="str">
        <f>DEC2HEX(RAM!A30,2)&amp;CHAR(10)&amp;DEC2BIN(RAM!A30,8)&amp;CHAR(10)&amp;RAM!A30</f>
        <v>00
00000000
0</v>
      </c>
      <c r="P12" s="28" t="str">
        <f>DEC2HEX(RAM!A31,2)&amp;CHAR(10)&amp;DEC2BIN(RAM!A31,8)&amp;CHAR(10)&amp;RAM!A31</f>
        <v>00
00000000
0</v>
      </c>
      <c r="Q12" s="28" t="str">
        <f>DEC2HEX(RAM!A32,2)&amp;CHAR(10)&amp;DEC2BIN(RAM!A32,8)&amp;CHAR(10)&amp;RAM!A32</f>
        <v>00
00000000
0</v>
      </c>
    </row>
    <row r="13" spans="1:26" ht="40.049999999999997" customHeight="1" x14ac:dyDescent="0.3">
      <c r="A13" s="27">
        <v>20</v>
      </c>
      <c r="B13" s="28" t="str">
        <f>DEC2HEX(RAM!A33,2)&amp;CHAR(10)&amp;DEC2BIN(RAM!A33,8)&amp;CHAR(10)&amp;RAM!A33</f>
        <v>00
00000000
0</v>
      </c>
      <c r="C13" s="28" t="str">
        <f>DEC2HEX(RAM!A34,2)&amp;CHAR(10)&amp;DEC2BIN(RAM!A34,8)&amp;CHAR(10)&amp;RAM!A34</f>
        <v>00
00000000
0</v>
      </c>
      <c r="D13" s="28" t="str">
        <f>DEC2HEX(RAM!A35,2)&amp;CHAR(10)&amp;DEC2BIN(RAM!A35,8)&amp;CHAR(10)&amp;RAM!A35</f>
        <v>00
00000000
0</v>
      </c>
      <c r="E13" s="28" t="str">
        <f>DEC2HEX(RAM!A36,2)&amp;CHAR(10)&amp;DEC2BIN(RAM!A36,8)&amp;CHAR(10)&amp;RAM!A36</f>
        <v>00
00000000
0</v>
      </c>
      <c r="F13" s="28" t="str">
        <f>DEC2HEX(RAM!A37,2)&amp;CHAR(10)&amp;DEC2BIN(RAM!A37,8)&amp;CHAR(10)&amp;RAM!A37</f>
        <v>00
00000000
0</v>
      </c>
      <c r="G13" s="28" t="str">
        <f>DEC2HEX(RAM!A38,2)&amp;CHAR(10)&amp;DEC2BIN(RAM!A38,8)&amp;CHAR(10)&amp;RAM!A38</f>
        <v>00
00000000
0</v>
      </c>
      <c r="H13" s="28" t="str">
        <f>DEC2HEX(RAM!A39,2)&amp;CHAR(10)&amp;DEC2BIN(RAM!A39,8)&amp;CHAR(10)&amp;RAM!A39</f>
        <v>00
00000000
0</v>
      </c>
      <c r="I13" s="28" t="str">
        <f>DEC2HEX(RAM!A40,2)&amp;CHAR(10)&amp;DEC2BIN(RAM!A40,8)&amp;CHAR(10)&amp;RAM!A40</f>
        <v>00
00000000
0</v>
      </c>
      <c r="J13" s="28" t="str">
        <f>DEC2HEX(RAM!A41,2)&amp;CHAR(10)&amp;DEC2BIN(RAM!A41,8)&amp;CHAR(10)&amp;RAM!A41</f>
        <v>00
00000000
0</v>
      </c>
      <c r="K13" s="28" t="str">
        <f>DEC2HEX(RAM!A42,2)&amp;CHAR(10)&amp;DEC2BIN(RAM!A42,8)&amp;CHAR(10)&amp;RAM!A42</f>
        <v>00
00000000
0</v>
      </c>
      <c r="L13" s="28" t="str">
        <f>DEC2HEX(RAM!A43,2)&amp;CHAR(10)&amp;DEC2BIN(RAM!A43,8)&amp;CHAR(10)&amp;RAM!A43</f>
        <v>00
00000000
0</v>
      </c>
      <c r="M13" s="28" t="str">
        <f>DEC2HEX(RAM!A44,2)&amp;CHAR(10)&amp;DEC2BIN(RAM!A44,8)&amp;CHAR(10)&amp;RAM!A44</f>
        <v>00
00000000
0</v>
      </c>
      <c r="N13" s="28" t="str">
        <f>DEC2HEX(RAM!A45,2)&amp;CHAR(10)&amp;DEC2BIN(RAM!A45,8)&amp;CHAR(10)&amp;RAM!A45</f>
        <v>00
00000000
0</v>
      </c>
      <c r="O13" s="28" t="str">
        <f>DEC2HEX(RAM!A46,2)&amp;CHAR(10)&amp;DEC2BIN(RAM!A46,8)&amp;CHAR(10)&amp;RAM!A46</f>
        <v>00
00000000
0</v>
      </c>
      <c r="P13" s="28" t="str">
        <f>DEC2HEX(RAM!A47,2)&amp;CHAR(10)&amp;DEC2BIN(RAM!A47,8)&amp;CHAR(10)&amp;RAM!A47</f>
        <v>00
00000000
0</v>
      </c>
      <c r="Q13" s="28" t="str">
        <f>DEC2HEX(RAM!A48,2)&amp;CHAR(10)&amp;DEC2BIN(RAM!A48,8)&amp;CHAR(10)&amp;RAM!A48</f>
        <v>00
00000000
0</v>
      </c>
    </row>
    <row r="14" spans="1:26" ht="40.049999999999997" customHeight="1" x14ac:dyDescent="0.3">
      <c r="A14" s="27">
        <v>30</v>
      </c>
      <c r="B14" s="28" t="str">
        <f>DEC2HEX(RAM!A49,2)&amp;CHAR(10)&amp;DEC2BIN(RAM!A49,8)&amp;CHAR(10)&amp;RAM!A49</f>
        <v>00
00000000
0</v>
      </c>
      <c r="C14" s="28" t="str">
        <f>DEC2HEX(RAM!A50,2)&amp;CHAR(10)&amp;DEC2BIN(RAM!A50,8)&amp;CHAR(10)&amp;RAM!A50</f>
        <v>00
00000000
0</v>
      </c>
      <c r="D14" s="28" t="str">
        <f>DEC2HEX(RAM!A51,2)&amp;CHAR(10)&amp;DEC2BIN(RAM!A51,8)&amp;CHAR(10)&amp;RAM!A51</f>
        <v>00
00000000
0</v>
      </c>
      <c r="E14" s="28" t="str">
        <f>DEC2HEX(RAM!A52,2)&amp;CHAR(10)&amp;DEC2BIN(RAM!A52,8)&amp;CHAR(10)&amp;RAM!A52</f>
        <v>00
00000000
0</v>
      </c>
      <c r="F14" s="28" t="str">
        <f>DEC2HEX(RAM!A53,2)&amp;CHAR(10)&amp;DEC2BIN(RAM!A53,8)&amp;CHAR(10)&amp;RAM!A53</f>
        <v>00
00000000
0</v>
      </c>
      <c r="G14" s="28" t="str">
        <f>DEC2HEX(RAM!A54,2)&amp;CHAR(10)&amp;DEC2BIN(RAM!A54,8)&amp;CHAR(10)&amp;RAM!A54</f>
        <v>00
00000000
0</v>
      </c>
      <c r="H14" s="28" t="str">
        <f>DEC2HEX(RAM!A55,2)&amp;CHAR(10)&amp;DEC2BIN(RAM!A55,8)&amp;CHAR(10)&amp;RAM!A55</f>
        <v>00
00000000
0</v>
      </c>
      <c r="I14" s="28" t="str">
        <f>DEC2HEX(RAM!A56,2)&amp;CHAR(10)&amp;DEC2BIN(RAM!A56,8)&amp;CHAR(10)&amp;RAM!A56</f>
        <v>00
00000000
0</v>
      </c>
      <c r="J14" s="28" t="str">
        <f>DEC2HEX(RAM!A57,2)&amp;CHAR(10)&amp;DEC2BIN(RAM!A57,8)&amp;CHAR(10)&amp;RAM!A57</f>
        <v>00
00000000
0</v>
      </c>
      <c r="K14" s="28" t="str">
        <f>DEC2HEX(RAM!A58,2)&amp;CHAR(10)&amp;DEC2BIN(RAM!A58,8)&amp;CHAR(10)&amp;RAM!A58</f>
        <v>00
00000000
0</v>
      </c>
      <c r="L14" s="28" t="str">
        <f>DEC2HEX(RAM!A59,2)&amp;CHAR(10)&amp;DEC2BIN(RAM!A59,8)&amp;CHAR(10)&amp;RAM!A59</f>
        <v>00
00000000
0</v>
      </c>
      <c r="M14" s="28" t="str">
        <f>DEC2HEX(RAM!A60,2)&amp;CHAR(10)&amp;DEC2BIN(RAM!A60,8)&amp;CHAR(10)&amp;RAM!A60</f>
        <v>00
00000000
0</v>
      </c>
      <c r="N14" s="28" t="str">
        <f>DEC2HEX(RAM!A61,2)&amp;CHAR(10)&amp;DEC2BIN(RAM!A61,8)&amp;CHAR(10)&amp;RAM!A61</f>
        <v>00
00000000
0</v>
      </c>
      <c r="O14" s="28" t="str">
        <f>DEC2HEX(RAM!A62,2)&amp;CHAR(10)&amp;DEC2BIN(RAM!A62,8)&amp;CHAR(10)&amp;RAM!A62</f>
        <v>00
00000000
0</v>
      </c>
      <c r="P14" s="28" t="str">
        <f>DEC2HEX(RAM!A63,2)&amp;CHAR(10)&amp;DEC2BIN(RAM!A63,8)&amp;CHAR(10)&amp;RAM!A63</f>
        <v>00
00000000
0</v>
      </c>
      <c r="Q14" s="28" t="str">
        <f>DEC2HEX(RAM!A64,2)&amp;CHAR(10)&amp;DEC2BIN(RAM!A64,8)&amp;CHAR(10)&amp;RAM!A64</f>
        <v>00
00000000
0</v>
      </c>
    </row>
    <row r="15" spans="1:26" ht="40.049999999999997" customHeight="1" x14ac:dyDescent="0.3">
      <c r="A15" s="27">
        <v>40</v>
      </c>
      <c r="B15" s="28" t="str">
        <f>DEC2HEX(RAM!A65,2)&amp;CHAR(10)&amp;DEC2BIN(RAM!A65,8)&amp;CHAR(10)&amp;RAM!A65</f>
        <v>00
00000000
0</v>
      </c>
      <c r="C15" s="28" t="str">
        <f>DEC2HEX(RAM!A66,2)&amp;CHAR(10)&amp;DEC2BIN(RAM!A66,8)&amp;CHAR(10)&amp;RAM!A66</f>
        <v>00
00000000
0</v>
      </c>
      <c r="D15" s="28" t="str">
        <f>DEC2HEX(RAM!A67,2)&amp;CHAR(10)&amp;DEC2BIN(RAM!A67,8)&amp;CHAR(10)&amp;RAM!A67</f>
        <v>00
00000000
0</v>
      </c>
      <c r="E15" s="28" t="str">
        <f>DEC2HEX(RAM!A68,2)&amp;CHAR(10)&amp;DEC2BIN(RAM!A68,8)&amp;CHAR(10)&amp;RAM!A68</f>
        <v>00
00000000
0</v>
      </c>
      <c r="F15" s="28" t="str">
        <f>DEC2HEX(RAM!A69,2)&amp;CHAR(10)&amp;DEC2BIN(RAM!A69,8)&amp;CHAR(10)&amp;RAM!A69</f>
        <v>00
00000000
0</v>
      </c>
      <c r="G15" s="28" t="str">
        <f>DEC2HEX(RAM!A70,2)&amp;CHAR(10)&amp;DEC2BIN(RAM!A70,8)&amp;CHAR(10)&amp;RAM!A70</f>
        <v>00
00000000
0</v>
      </c>
      <c r="H15" s="28" t="str">
        <f>DEC2HEX(RAM!A71,2)&amp;CHAR(10)&amp;DEC2BIN(RAM!A71,8)&amp;CHAR(10)&amp;RAM!A71</f>
        <v>00
00000000
0</v>
      </c>
      <c r="I15" s="28" t="str">
        <f>DEC2HEX(RAM!A72,2)&amp;CHAR(10)&amp;DEC2BIN(RAM!A72,8)&amp;CHAR(10)&amp;RAM!A72</f>
        <v>00
00000000
0</v>
      </c>
      <c r="J15" s="28" t="str">
        <f>DEC2HEX(RAM!A73,2)&amp;CHAR(10)&amp;DEC2BIN(RAM!A73,8)&amp;CHAR(10)&amp;RAM!A73</f>
        <v>00
00000000
0</v>
      </c>
      <c r="K15" s="28" t="str">
        <f>DEC2HEX(RAM!A74,2)&amp;CHAR(10)&amp;DEC2BIN(RAM!A74,8)&amp;CHAR(10)&amp;RAM!A74</f>
        <v>00
00000000
0</v>
      </c>
      <c r="L15" s="28" t="str">
        <f>DEC2HEX(RAM!A75,2)&amp;CHAR(10)&amp;DEC2BIN(RAM!A75,8)&amp;CHAR(10)&amp;RAM!A75</f>
        <v>00
00000000
0</v>
      </c>
      <c r="M15" s="28" t="str">
        <f>DEC2HEX(RAM!A76,2)&amp;CHAR(10)&amp;DEC2BIN(RAM!A76,8)&amp;CHAR(10)&amp;RAM!A76</f>
        <v>00
00000000
0</v>
      </c>
      <c r="N15" s="28" t="str">
        <f>DEC2HEX(RAM!A77,2)&amp;CHAR(10)&amp;DEC2BIN(RAM!A77,8)&amp;CHAR(10)&amp;RAM!A77</f>
        <v>00
00000000
0</v>
      </c>
      <c r="O15" s="28" t="str">
        <f>DEC2HEX(RAM!A78,2)&amp;CHAR(10)&amp;DEC2BIN(RAM!A78,8)&amp;CHAR(10)&amp;RAM!A78</f>
        <v>00
00000000
0</v>
      </c>
      <c r="P15" s="28" t="str">
        <f>DEC2HEX(RAM!A79,2)&amp;CHAR(10)&amp;DEC2BIN(RAM!A79,8)&amp;CHAR(10)&amp;RAM!A79</f>
        <v>00
00000000
0</v>
      </c>
      <c r="Q15" s="28" t="str">
        <f>DEC2HEX(RAM!A80,2)&amp;CHAR(10)&amp;DEC2BIN(RAM!A80,8)&amp;CHAR(10)&amp;RAM!A80</f>
        <v>00
00000000
0</v>
      </c>
    </row>
    <row r="16" spans="1:26" ht="40.049999999999997" customHeight="1" x14ac:dyDescent="0.3">
      <c r="A16" s="27">
        <v>50</v>
      </c>
      <c r="B16" s="28" t="str">
        <f>DEC2HEX(RAM!A81,2)&amp;CHAR(10)&amp;DEC2BIN(RAM!A81,8)&amp;CHAR(10)&amp;RAM!A81</f>
        <v>00
00000000
0</v>
      </c>
      <c r="C16" s="28" t="str">
        <f>DEC2HEX(RAM!A82,2)&amp;CHAR(10)&amp;DEC2BIN(RAM!A82,8)&amp;CHAR(10)&amp;RAM!A82</f>
        <v>00
00000000
0</v>
      </c>
      <c r="D16" s="28" t="str">
        <f>DEC2HEX(RAM!A83,2)&amp;CHAR(10)&amp;DEC2BIN(RAM!A83,8)&amp;CHAR(10)&amp;RAM!A83</f>
        <v>00
00000000
0</v>
      </c>
      <c r="E16" s="28" t="str">
        <f>DEC2HEX(RAM!A84,2)&amp;CHAR(10)&amp;DEC2BIN(RAM!A84,8)&amp;CHAR(10)&amp;RAM!A84</f>
        <v>00
00000000
0</v>
      </c>
      <c r="F16" s="28" t="str">
        <f>DEC2HEX(RAM!A85,2)&amp;CHAR(10)&amp;DEC2BIN(RAM!A85,8)&amp;CHAR(10)&amp;RAM!A85</f>
        <v>00
00000000
0</v>
      </c>
      <c r="G16" s="28" t="str">
        <f>DEC2HEX(RAM!A86,2)&amp;CHAR(10)&amp;DEC2BIN(RAM!A86,8)&amp;CHAR(10)&amp;RAM!A86</f>
        <v>00
00000000
0</v>
      </c>
      <c r="H16" s="28" t="str">
        <f>DEC2HEX(RAM!A87,2)&amp;CHAR(10)&amp;DEC2BIN(RAM!A87,8)&amp;CHAR(10)&amp;RAM!A87</f>
        <v>00
00000000
0</v>
      </c>
      <c r="I16" s="28" t="str">
        <f>DEC2HEX(RAM!A88,2)&amp;CHAR(10)&amp;DEC2BIN(RAM!A88,8)&amp;CHAR(10)&amp;RAM!A88</f>
        <v>00
00000000
0</v>
      </c>
      <c r="J16" s="28" t="str">
        <f>DEC2HEX(RAM!A89,2)&amp;CHAR(10)&amp;DEC2BIN(RAM!A89,8)&amp;CHAR(10)&amp;RAM!A89</f>
        <v>00
00000000
0</v>
      </c>
      <c r="K16" s="28" t="str">
        <f>DEC2HEX(RAM!A90,2)&amp;CHAR(10)&amp;DEC2BIN(RAM!A90,8)&amp;CHAR(10)&amp;RAM!A90</f>
        <v>00
00000000
0</v>
      </c>
      <c r="L16" s="28" t="str">
        <f>DEC2HEX(RAM!A91,2)&amp;CHAR(10)&amp;DEC2BIN(RAM!A91,8)&amp;CHAR(10)&amp;RAM!A91</f>
        <v>00
00000000
0</v>
      </c>
      <c r="M16" s="28" t="str">
        <f>DEC2HEX(RAM!A92,2)&amp;CHAR(10)&amp;DEC2BIN(RAM!A92,8)&amp;CHAR(10)&amp;RAM!A92</f>
        <v>00
00000000
0</v>
      </c>
      <c r="N16" s="28" t="str">
        <f>DEC2HEX(RAM!A93,2)&amp;CHAR(10)&amp;DEC2BIN(RAM!A93,8)&amp;CHAR(10)&amp;RAM!A93</f>
        <v>00
00000000
0</v>
      </c>
      <c r="O16" s="28" t="str">
        <f>DEC2HEX(RAM!A94,2)&amp;CHAR(10)&amp;DEC2BIN(RAM!A94,8)&amp;CHAR(10)&amp;RAM!A94</f>
        <v>00
00000000
0</v>
      </c>
      <c r="P16" s="28" t="str">
        <f>DEC2HEX(RAM!A95,2)&amp;CHAR(10)&amp;DEC2BIN(RAM!A95,8)&amp;CHAR(10)&amp;RAM!A95</f>
        <v>00
00000000
0</v>
      </c>
      <c r="Q16" s="28" t="str">
        <f>DEC2HEX(RAM!A96,2)&amp;CHAR(10)&amp;DEC2BIN(RAM!A96,8)&amp;CHAR(10)&amp;RAM!A96</f>
        <v>00
00000000
0</v>
      </c>
    </row>
    <row r="17" spans="1:17" ht="40.049999999999997" customHeight="1" x14ac:dyDescent="0.3">
      <c r="A17" s="27">
        <v>60</v>
      </c>
      <c r="B17" s="28" t="str">
        <f>DEC2HEX(RAM!A97,2)&amp;CHAR(10)&amp;DEC2BIN(RAM!A97,8)&amp;CHAR(10)&amp;RAM!A97</f>
        <v>00
00000000
0</v>
      </c>
      <c r="C17" s="28" t="str">
        <f>DEC2HEX(RAM!A98,2)&amp;CHAR(10)&amp;DEC2BIN(RAM!A98,8)&amp;CHAR(10)&amp;RAM!A98</f>
        <v>00
00000000
0</v>
      </c>
      <c r="D17" s="28" t="str">
        <f>DEC2HEX(RAM!A99,2)&amp;CHAR(10)&amp;DEC2BIN(RAM!A99,8)&amp;CHAR(10)&amp;RAM!A99</f>
        <v>00
00000000
0</v>
      </c>
      <c r="E17" s="28" t="str">
        <f>DEC2HEX(RAM!A100,2)&amp;CHAR(10)&amp;DEC2BIN(RAM!A100,8)&amp;CHAR(10)&amp;RAM!A100</f>
        <v>00
00000000
0</v>
      </c>
      <c r="F17" s="28" t="str">
        <f>DEC2HEX(RAM!A101,2)&amp;CHAR(10)&amp;DEC2BIN(RAM!A101,8)&amp;CHAR(10)&amp;RAM!A101</f>
        <v>00
00000000
0</v>
      </c>
      <c r="G17" s="28" t="str">
        <f>DEC2HEX(RAM!A102,2)&amp;CHAR(10)&amp;DEC2BIN(RAM!A102,8)&amp;CHAR(10)&amp;RAM!A102</f>
        <v>00
00000000
0</v>
      </c>
      <c r="H17" s="28" t="str">
        <f>DEC2HEX(RAM!A103,2)&amp;CHAR(10)&amp;DEC2BIN(RAM!A103,8)&amp;CHAR(10)&amp;RAM!A103</f>
        <v>00
00000000
0</v>
      </c>
      <c r="I17" s="28" t="str">
        <f>DEC2HEX(RAM!A104,2)&amp;CHAR(10)&amp;DEC2BIN(RAM!A104,8)&amp;CHAR(10)&amp;RAM!A104</f>
        <v>00
00000000
0</v>
      </c>
      <c r="J17" s="28" t="str">
        <f>DEC2HEX(RAM!A105,2)&amp;CHAR(10)&amp;DEC2BIN(RAM!A105,8)&amp;CHAR(10)&amp;RAM!A105</f>
        <v>00
00000000
0</v>
      </c>
      <c r="K17" s="28" t="str">
        <f>DEC2HEX(RAM!A106,2)&amp;CHAR(10)&amp;DEC2BIN(RAM!A106,8)&amp;CHAR(10)&amp;RAM!A106</f>
        <v>00
00000000
0</v>
      </c>
      <c r="L17" s="28" t="str">
        <f>DEC2HEX(RAM!A107,2)&amp;CHAR(10)&amp;DEC2BIN(RAM!A107,8)&amp;CHAR(10)&amp;RAM!A107</f>
        <v>00
00000000
0</v>
      </c>
      <c r="M17" s="28" t="str">
        <f>DEC2HEX(RAM!A108,2)&amp;CHAR(10)&amp;DEC2BIN(RAM!A108,8)&amp;CHAR(10)&amp;RAM!A108</f>
        <v>00
00000000
0</v>
      </c>
      <c r="N17" s="28" t="str">
        <f>DEC2HEX(RAM!A109,2)&amp;CHAR(10)&amp;DEC2BIN(RAM!A109,8)&amp;CHAR(10)&amp;RAM!A109</f>
        <v>00
00000000
0</v>
      </c>
      <c r="O17" s="28" t="str">
        <f>DEC2HEX(RAM!A110,2)&amp;CHAR(10)&amp;DEC2BIN(RAM!A110,8)&amp;CHAR(10)&amp;RAM!A110</f>
        <v>00
00000000
0</v>
      </c>
      <c r="P17" s="28" t="str">
        <f>DEC2HEX(RAM!A111,2)&amp;CHAR(10)&amp;DEC2BIN(RAM!A111,8)&amp;CHAR(10)&amp;RAM!A111</f>
        <v>00
00000000
0</v>
      </c>
      <c r="Q17" s="28" t="str">
        <f>DEC2HEX(RAM!A112,2)&amp;CHAR(10)&amp;DEC2BIN(RAM!A112,8)&amp;CHAR(10)&amp;RAM!A112</f>
        <v>00
00000000
0</v>
      </c>
    </row>
    <row r="18" spans="1:17" ht="40.049999999999997" customHeight="1" x14ac:dyDescent="0.3">
      <c r="A18" s="27">
        <v>70</v>
      </c>
      <c r="B18" s="28" t="str">
        <f>DEC2HEX(RAM!A113,2)&amp;CHAR(10)&amp;DEC2BIN(RAM!A113,8)&amp;CHAR(10)&amp;RAM!A113</f>
        <v>00
00000000
0</v>
      </c>
      <c r="C18" s="28" t="str">
        <f>DEC2HEX(RAM!A114,2)&amp;CHAR(10)&amp;DEC2BIN(RAM!A114,8)&amp;CHAR(10)&amp;RAM!A114</f>
        <v>00
00000000
0</v>
      </c>
      <c r="D18" s="28" t="str">
        <f>DEC2HEX(RAM!A115,2)&amp;CHAR(10)&amp;DEC2BIN(RAM!A115,8)&amp;CHAR(10)&amp;RAM!A115</f>
        <v>00
00000000
0</v>
      </c>
      <c r="E18" s="28" t="str">
        <f>DEC2HEX(RAM!A116,2)&amp;CHAR(10)&amp;DEC2BIN(RAM!A116,8)&amp;CHAR(10)&amp;RAM!A116</f>
        <v>00
00000000
0</v>
      </c>
      <c r="F18" s="28" t="str">
        <f>DEC2HEX(RAM!A117,2)&amp;CHAR(10)&amp;DEC2BIN(RAM!A117,8)&amp;CHAR(10)&amp;RAM!A117</f>
        <v>00
00000000
0</v>
      </c>
      <c r="G18" s="28" t="str">
        <f>DEC2HEX(RAM!A118,2)&amp;CHAR(10)&amp;DEC2BIN(RAM!A118,8)&amp;CHAR(10)&amp;RAM!A118</f>
        <v>00
00000000
0</v>
      </c>
      <c r="H18" s="28" t="str">
        <f>DEC2HEX(RAM!A119,2)&amp;CHAR(10)&amp;DEC2BIN(RAM!A119,8)&amp;CHAR(10)&amp;RAM!A119</f>
        <v>00
00000000
0</v>
      </c>
      <c r="I18" s="28" t="str">
        <f>DEC2HEX(RAM!A120,2)&amp;CHAR(10)&amp;DEC2BIN(RAM!A120,8)&amp;CHAR(10)&amp;RAM!A120</f>
        <v>00
00000000
0</v>
      </c>
      <c r="J18" s="28" t="str">
        <f>DEC2HEX(RAM!A121,2)&amp;CHAR(10)&amp;DEC2BIN(RAM!A121,8)&amp;CHAR(10)&amp;RAM!A121</f>
        <v>00
00000000
0</v>
      </c>
      <c r="K18" s="28" t="str">
        <f>DEC2HEX(RAM!A122,2)&amp;CHAR(10)&amp;DEC2BIN(RAM!A122,8)&amp;CHAR(10)&amp;RAM!A122</f>
        <v>00
00000000
0</v>
      </c>
      <c r="L18" s="28" t="str">
        <f>DEC2HEX(RAM!A123,2)&amp;CHAR(10)&amp;DEC2BIN(RAM!A123,8)&amp;CHAR(10)&amp;RAM!A123</f>
        <v>00
00000000
0</v>
      </c>
      <c r="M18" s="28" t="str">
        <f>DEC2HEX(RAM!A124,2)&amp;CHAR(10)&amp;DEC2BIN(RAM!A124,8)&amp;CHAR(10)&amp;RAM!A124</f>
        <v>00
00000000
0</v>
      </c>
      <c r="N18" s="28" t="str">
        <f>DEC2HEX(RAM!A125,2)&amp;CHAR(10)&amp;DEC2BIN(RAM!A125,8)&amp;CHAR(10)&amp;RAM!A125</f>
        <v>00
00000000
0</v>
      </c>
      <c r="O18" s="28" t="str">
        <f>DEC2HEX(RAM!A126,2)&amp;CHAR(10)&amp;DEC2BIN(RAM!A126,8)&amp;CHAR(10)&amp;RAM!A126</f>
        <v>00
00000000
0</v>
      </c>
      <c r="P18" s="28" t="str">
        <f>DEC2HEX(RAM!A127,2)&amp;CHAR(10)&amp;DEC2BIN(RAM!A127,8)&amp;CHAR(10)&amp;RAM!A127</f>
        <v>00
00000000
0</v>
      </c>
      <c r="Q18" s="28" t="str">
        <f>DEC2HEX(RAM!A128,2)&amp;CHAR(10)&amp;DEC2BIN(RAM!A128,8)&amp;CHAR(10)&amp;RAM!A128</f>
        <v>00
00000000
0</v>
      </c>
    </row>
    <row r="19" spans="1:17" ht="40.049999999999997" customHeight="1" x14ac:dyDescent="0.3">
      <c r="A19" s="29">
        <v>80</v>
      </c>
      <c r="B19" s="36" t="str">
        <f>DEC2HEX(RAM!A129,2)&amp;CHAR(10)&amp;DEC2BIN(RAM!A129,8)&amp;CHAR(10)&amp;RAM!A129</f>
        <v>2A
00101010
42</v>
      </c>
      <c r="C19" s="30" t="str">
        <f>DEC2HEX(RAM!A130,2)&amp;CHAR(10)&amp;DEC2BIN(RAM!A130,8)&amp;CHAR(10)&amp;RAM!A130</f>
        <v>00
00000000
0</v>
      </c>
      <c r="D19" s="30" t="str">
        <f>DEC2HEX(RAM!A131,2)&amp;CHAR(10)&amp;DEC2BIN(RAM!A131,8)&amp;CHAR(10)&amp;RAM!A131</f>
        <v>00
00000000
0</v>
      </c>
      <c r="E19" s="30" t="str">
        <f>DEC2HEX(RAM!A132,2)&amp;CHAR(10)&amp;DEC2BIN(RAM!A132,8)&amp;CHAR(10)&amp;RAM!A132</f>
        <v>00
00000000
0</v>
      </c>
      <c r="F19" s="30" t="str">
        <f>DEC2HEX(RAM!A133,2)&amp;CHAR(10)&amp;DEC2BIN(RAM!A133,8)&amp;CHAR(10)&amp;RAM!A133</f>
        <v>00
00000000
0</v>
      </c>
      <c r="G19" s="30" t="str">
        <f>DEC2HEX(RAM!A134,2)&amp;CHAR(10)&amp;DEC2BIN(RAM!A134,8)&amp;CHAR(10)&amp;RAM!A134</f>
        <v>00
00000000
0</v>
      </c>
      <c r="H19" s="30" t="str">
        <f>DEC2HEX(RAM!A135,2)&amp;CHAR(10)&amp;DEC2BIN(RAM!A135,8)&amp;CHAR(10)&amp;RAM!A135</f>
        <v>00
00000000
0</v>
      </c>
      <c r="I19" s="30" t="str">
        <f>DEC2HEX(RAM!A136,2)&amp;CHAR(10)&amp;DEC2BIN(RAM!A136,8)&amp;CHAR(10)&amp;RAM!A136</f>
        <v>00
00000000
0</v>
      </c>
      <c r="J19" s="30" t="str">
        <f>DEC2HEX(RAM!A137,2)&amp;CHAR(10)&amp;DEC2BIN(RAM!A137,8)&amp;CHAR(10)&amp;RAM!A137</f>
        <v>00
00000000
0</v>
      </c>
      <c r="K19" s="30" t="str">
        <f>DEC2HEX(RAM!A138,2)&amp;CHAR(10)&amp;DEC2BIN(RAM!A138,8)&amp;CHAR(10)&amp;RAM!A138</f>
        <v>00
00000000
0</v>
      </c>
      <c r="L19" s="30" t="str">
        <f>DEC2HEX(RAM!A139,2)&amp;CHAR(10)&amp;DEC2BIN(RAM!A139,8)&amp;CHAR(10)&amp;RAM!A139</f>
        <v>00
00000000
0</v>
      </c>
      <c r="M19" s="30" t="str">
        <f>DEC2HEX(RAM!A140,2)&amp;CHAR(10)&amp;DEC2BIN(RAM!A140,8)&amp;CHAR(10)&amp;RAM!A140</f>
        <v>00
00000000
0</v>
      </c>
      <c r="N19" s="30" t="str">
        <f>DEC2HEX(RAM!A141,2)&amp;CHAR(10)&amp;DEC2BIN(RAM!A141,8)&amp;CHAR(10)&amp;RAM!A141</f>
        <v>00
00000000
0</v>
      </c>
      <c r="O19" s="30" t="str">
        <f>DEC2HEX(RAM!A142,2)&amp;CHAR(10)&amp;DEC2BIN(RAM!A142,8)&amp;CHAR(10)&amp;RAM!A142</f>
        <v>00
00000000
0</v>
      </c>
      <c r="P19" s="30" t="str">
        <f>DEC2HEX(RAM!A143,2)&amp;CHAR(10)&amp;DEC2BIN(RAM!A143,8)&amp;CHAR(10)&amp;RAM!A143</f>
        <v>00
00000000
0</v>
      </c>
      <c r="Q19" s="30" t="str">
        <f>DEC2HEX(RAM!A144,2)&amp;CHAR(10)&amp;DEC2BIN(RAM!A144,8)&amp;CHAR(10)&amp;RAM!A144</f>
        <v>00
00000000
0</v>
      </c>
    </row>
    <row r="20" spans="1:17" ht="40.049999999999997" customHeight="1" x14ac:dyDescent="0.3">
      <c r="A20" s="29">
        <v>90</v>
      </c>
      <c r="B20" s="30" t="str">
        <f>DEC2HEX(RAM!A145,2)&amp;CHAR(10)&amp;DEC2BIN(RAM!A145,8)&amp;CHAR(10)&amp;RAM!A145</f>
        <v>00
00000000
0</v>
      </c>
      <c r="C20" s="30" t="str">
        <f>DEC2HEX(RAM!A146,2)&amp;CHAR(10)&amp;DEC2BIN(RAM!A146,8)&amp;CHAR(10)&amp;RAM!A146</f>
        <v>00
00000000
0</v>
      </c>
      <c r="D20" s="30" t="str">
        <f>DEC2HEX(RAM!A147,2)&amp;CHAR(10)&amp;DEC2BIN(RAM!A147,8)&amp;CHAR(10)&amp;RAM!A147</f>
        <v>00
00000000
0</v>
      </c>
      <c r="E20" s="30" t="str">
        <f>DEC2HEX(RAM!A148,2)&amp;CHAR(10)&amp;DEC2BIN(RAM!A148,8)&amp;CHAR(10)&amp;RAM!A148</f>
        <v>00
00000000
0</v>
      </c>
      <c r="F20" s="30" t="str">
        <f>DEC2HEX(RAM!A149,2)&amp;CHAR(10)&amp;DEC2BIN(RAM!A149,8)&amp;CHAR(10)&amp;RAM!A149</f>
        <v>00
00000000
0</v>
      </c>
      <c r="G20" s="30" t="str">
        <f>DEC2HEX(RAM!A150,2)&amp;CHAR(10)&amp;DEC2BIN(RAM!A150,8)&amp;CHAR(10)&amp;RAM!A150</f>
        <v>00
00000000
0</v>
      </c>
      <c r="H20" s="30" t="str">
        <f>DEC2HEX(RAM!A151,2)&amp;CHAR(10)&amp;DEC2BIN(RAM!A151,8)&amp;CHAR(10)&amp;RAM!A151</f>
        <v>00
00000000
0</v>
      </c>
      <c r="I20" s="30" t="str">
        <f>DEC2HEX(RAM!A152,2)&amp;CHAR(10)&amp;DEC2BIN(RAM!A152,8)&amp;CHAR(10)&amp;RAM!A152</f>
        <v>00
00000000
0</v>
      </c>
      <c r="J20" s="30" t="str">
        <f>DEC2HEX(RAM!A153,2)&amp;CHAR(10)&amp;DEC2BIN(RAM!A153,8)&amp;CHAR(10)&amp;RAM!A153</f>
        <v>00
00000000
0</v>
      </c>
      <c r="K20" s="30" t="str">
        <f>DEC2HEX(RAM!A154,2)&amp;CHAR(10)&amp;DEC2BIN(RAM!A154,8)&amp;CHAR(10)&amp;RAM!A154</f>
        <v>00
00000000
0</v>
      </c>
      <c r="L20" s="30" t="str">
        <f>DEC2HEX(RAM!A155,2)&amp;CHAR(10)&amp;DEC2BIN(RAM!A155,8)&amp;CHAR(10)&amp;RAM!A155</f>
        <v>00
00000000
0</v>
      </c>
      <c r="M20" s="30" t="str">
        <f>DEC2HEX(RAM!A156,2)&amp;CHAR(10)&amp;DEC2BIN(RAM!A156,8)&amp;CHAR(10)&amp;RAM!A156</f>
        <v>00
00000000
0</v>
      </c>
      <c r="N20" s="30" t="str">
        <f>DEC2HEX(RAM!A157,2)&amp;CHAR(10)&amp;DEC2BIN(RAM!A157,8)&amp;CHAR(10)&amp;RAM!A157</f>
        <v>00
00000000
0</v>
      </c>
      <c r="O20" s="30" t="str">
        <f>DEC2HEX(RAM!A158,2)&amp;CHAR(10)&amp;DEC2BIN(RAM!A158,8)&amp;CHAR(10)&amp;RAM!A158</f>
        <v>00
00000000
0</v>
      </c>
      <c r="P20" s="30" t="str">
        <f>DEC2HEX(RAM!A159,2)&amp;CHAR(10)&amp;DEC2BIN(RAM!A159,8)&amp;CHAR(10)&amp;RAM!A159</f>
        <v>00
00000000
0</v>
      </c>
      <c r="Q20" s="30" t="str">
        <f>DEC2HEX(RAM!A160,2)&amp;CHAR(10)&amp;DEC2BIN(RAM!A160,8)&amp;CHAR(10)&amp;RAM!A160</f>
        <v>00
00000000
0</v>
      </c>
    </row>
    <row r="21" spans="1:17" ht="40.049999999999997" customHeight="1" x14ac:dyDescent="0.3">
      <c r="A21" s="29" t="s">
        <v>42</v>
      </c>
      <c r="B21" s="30" t="str">
        <f>DEC2HEX(RAM!A161,2)&amp;CHAR(10)&amp;DEC2BIN(RAM!A161,8)&amp;CHAR(10)&amp;RAM!A161</f>
        <v>00
00000000
0</v>
      </c>
      <c r="C21" s="30" t="str">
        <f>DEC2HEX(RAM!A162,2)&amp;CHAR(10)&amp;DEC2BIN(RAM!A162,8)&amp;CHAR(10)&amp;RAM!A162</f>
        <v>00
00000000
0</v>
      </c>
      <c r="D21" s="30" t="str">
        <f>DEC2HEX(RAM!A163,2)&amp;CHAR(10)&amp;DEC2BIN(RAM!A163,8)&amp;CHAR(10)&amp;RAM!A163</f>
        <v>00
00000000
0</v>
      </c>
      <c r="E21" s="30" t="str">
        <f>DEC2HEX(RAM!A164,2)&amp;CHAR(10)&amp;DEC2BIN(RAM!A164,8)&amp;CHAR(10)&amp;RAM!A164</f>
        <v>00
00000000
0</v>
      </c>
      <c r="F21" s="30" t="str">
        <f>DEC2HEX(RAM!A165,2)&amp;CHAR(10)&amp;DEC2BIN(RAM!A165,8)&amp;CHAR(10)&amp;RAM!A165</f>
        <v>00
00000000
0</v>
      </c>
      <c r="G21" s="30" t="str">
        <f>DEC2HEX(RAM!A166,2)&amp;CHAR(10)&amp;DEC2BIN(RAM!A166,8)&amp;CHAR(10)&amp;RAM!A166</f>
        <v>00
00000000
0</v>
      </c>
      <c r="H21" s="30" t="str">
        <f>DEC2HEX(RAM!A167,2)&amp;CHAR(10)&amp;DEC2BIN(RAM!A167,8)&amp;CHAR(10)&amp;RAM!A167</f>
        <v>00
00000000
0</v>
      </c>
      <c r="I21" s="30" t="str">
        <f>DEC2HEX(RAM!A168,2)&amp;CHAR(10)&amp;DEC2BIN(RAM!A168,8)&amp;CHAR(10)&amp;RAM!A168</f>
        <v>00
00000000
0</v>
      </c>
      <c r="J21" s="30" t="str">
        <f>DEC2HEX(RAM!A169,2)&amp;CHAR(10)&amp;DEC2BIN(RAM!A169,8)&amp;CHAR(10)&amp;RAM!A169</f>
        <v>00
00000000
0</v>
      </c>
      <c r="K21" s="30" t="str">
        <f>DEC2HEX(RAM!A170,2)&amp;CHAR(10)&amp;DEC2BIN(RAM!A170,8)&amp;CHAR(10)&amp;RAM!A170</f>
        <v>00
00000000
0</v>
      </c>
      <c r="L21" s="30" t="str">
        <f>DEC2HEX(RAM!A171,2)&amp;CHAR(10)&amp;DEC2BIN(RAM!A171,8)&amp;CHAR(10)&amp;RAM!A171</f>
        <v>00
00000000
0</v>
      </c>
      <c r="M21" s="30" t="str">
        <f>DEC2HEX(RAM!A172,2)&amp;CHAR(10)&amp;DEC2BIN(RAM!A172,8)&amp;CHAR(10)&amp;RAM!A172</f>
        <v>00
00000000
0</v>
      </c>
      <c r="N21" s="30" t="str">
        <f>DEC2HEX(RAM!A173,2)&amp;CHAR(10)&amp;DEC2BIN(RAM!A173,8)&amp;CHAR(10)&amp;RAM!A173</f>
        <v>00
00000000
0</v>
      </c>
      <c r="O21" s="30" t="str">
        <f>DEC2HEX(RAM!A174,2)&amp;CHAR(10)&amp;DEC2BIN(RAM!A174,8)&amp;CHAR(10)&amp;RAM!A174</f>
        <v>00
00000000
0</v>
      </c>
      <c r="P21" s="30" t="str">
        <f>DEC2HEX(RAM!A175,2)&amp;CHAR(10)&amp;DEC2BIN(RAM!A175,8)&amp;CHAR(10)&amp;RAM!A175</f>
        <v>00
00000000
0</v>
      </c>
      <c r="Q21" s="30" t="str">
        <f>DEC2HEX(RAM!A176,2)&amp;CHAR(10)&amp;DEC2BIN(RAM!A176,8)&amp;CHAR(10)&amp;RAM!A176</f>
        <v>00
00000000
0</v>
      </c>
    </row>
    <row r="22" spans="1:17" ht="40.049999999999997" customHeight="1" x14ac:dyDescent="0.3">
      <c r="A22" s="29" t="s">
        <v>43</v>
      </c>
      <c r="B22" s="30" t="str">
        <f>DEC2HEX(RAM!A177,2)&amp;CHAR(10)&amp;DEC2BIN(RAM!A177,8)&amp;CHAR(10)&amp;RAM!A177</f>
        <v>00
00000000
0</v>
      </c>
      <c r="C22" s="30" t="str">
        <f>DEC2HEX(RAM!A178,2)&amp;CHAR(10)&amp;DEC2BIN(RAM!A178,8)&amp;CHAR(10)&amp;RAM!A178</f>
        <v>00
00000000
0</v>
      </c>
      <c r="D22" s="30" t="str">
        <f>DEC2HEX(RAM!A179,2)&amp;CHAR(10)&amp;DEC2BIN(RAM!A179,8)&amp;CHAR(10)&amp;RAM!A179</f>
        <v>00
00000000
0</v>
      </c>
      <c r="E22" s="30" t="str">
        <f>DEC2HEX(RAM!A180,2)&amp;CHAR(10)&amp;DEC2BIN(RAM!A180,8)&amp;CHAR(10)&amp;RAM!A180</f>
        <v>00
00000000
0</v>
      </c>
      <c r="F22" s="30" t="str">
        <f>DEC2HEX(RAM!A181,2)&amp;CHAR(10)&amp;DEC2BIN(RAM!A181,8)&amp;CHAR(10)&amp;RAM!A181</f>
        <v>00
00000000
0</v>
      </c>
      <c r="G22" s="30" t="str">
        <f>DEC2HEX(RAM!A182,2)&amp;CHAR(10)&amp;DEC2BIN(RAM!A182,8)&amp;CHAR(10)&amp;RAM!A182</f>
        <v>00
00000000
0</v>
      </c>
      <c r="H22" s="30" t="str">
        <f>DEC2HEX(RAM!A183,2)&amp;CHAR(10)&amp;DEC2BIN(RAM!A183,8)&amp;CHAR(10)&amp;RAM!A183</f>
        <v>00
00000000
0</v>
      </c>
      <c r="I22" s="30" t="str">
        <f>DEC2HEX(RAM!A184,2)&amp;CHAR(10)&amp;DEC2BIN(RAM!A184,8)&amp;CHAR(10)&amp;RAM!A184</f>
        <v>00
00000000
0</v>
      </c>
      <c r="J22" s="30" t="str">
        <f>DEC2HEX(RAM!A185,2)&amp;CHAR(10)&amp;DEC2BIN(RAM!A185,8)&amp;CHAR(10)&amp;RAM!A185</f>
        <v>00
00000000
0</v>
      </c>
      <c r="K22" s="30" t="str">
        <f>DEC2HEX(RAM!A186,2)&amp;CHAR(10)&amp;DEC2BIN(RAM!A186,8)&amp;CHAR(10)&amp;RAM!A186</f>
        <v>00
00000000
0</v>
      </c>
      <c r="L22" s="30" t="str">
        <f>DEC2HEX(RAM!A187,2)&amp;CHAR(10)&amp;DEC2BIN(RAM!A187,8)&amp;CHAR(10)&amp;RAM!A187</f>
        <v>00
00000000
0</v>
      </c>
      <c r="M22" s="30" t="str">
        <f>DEC2HEX(RAM!A188,2)&amp;CHAR(10)&amp;DEC2BIN(RAM!A188,8)&amp;CHAR(10)&amp;RAM!A188</f>
        <v>00
00000000
0</v>
      </c>
      <c r="N22" s="30" t="str">
        <f>DEC2HEX(RAM!A189,2)&amp;CHAR(10)&amp;DEC2BIN(RAM!A189,8)&amp;CHAR(10)&amp;RAM!A189</f>
        <v>00
00000000
0</v>
      </c>
      <c r="O22" s="30" t="str">
        <f>DEC2HEX(RAM!A190,2)&amp;CHAR(10)&amp;DEC2BIN(RAM!A190,8)&amp;CHAR(10)&amp;RAM!A190</f>
        <v>00
00000000
0</v>
      </c>
      <c r="P22" s="30" t="str">
        <f>DEC2HEX(RAM!A191,2)&amp;CHAR(10)&amp;DEC2BIN(RAM!A191,8)&amp;CHAR(10)&amp;RAM!A191</f>
        <v>00
00000000
0</v>
      </c>
      <c r="Q22" s="30" t="str">
        <f>DEC2HEX(RAM!A192,2)&amp;CHAR(10)&amp;DEC2BIN(RAM!A192,8)&amp;CHAR(10)&amp;RAM!A192</f>
        <v>00
00000000
0</v>
      </c>
    </row>
    <row r="23" spans="1:17" ht="40.049999999999997" customHeight="1" x14ac:dyDescent="0.3">
      <c r="A23" s="29" t="s">
        <v>44</v>
      </c>
      <c r="B23" s="30" t="str">
        <f>DEC2HEX(RAM!A193,2)&amp;CHAR(10)&amp;DEC2BIN(RAM!A193,8)&amp;CHAR(10)&amp;RAM!A193</f>
        <v>00
00000000
0</v>
      </c>
      <c r="C23" s="30" t="str">
        <f>DEC2HEX(RAM!A194,2)&amp;CHAR(10)&amp;DEC2BIN(RAM!A194,8)&amp;CHAR(10)&amp;RAM!A194</f>
        <v>00
00000000
0</v>
      </c>
      <c r="D23" s="30" t="str">
        <f>DEC2HEX(RAM!A195,2)&amp;CHAR(10)&amp;DEC2BIN(RAM!A195,8)&amp;CHAR(10)&amp;RAM!A195</f>
        <v>00
00000000
0</v>
      </c>
      <c r="E23" s="30" t="str">
        <f>DEC2HEX(RAM!A196,2)&amp;CHAR(10)&amp;DEC2BIN(RAM!A196,8)&amp;CHAR(10)&amp;RAM!A196</f>
        <v>00
00000000
0</v>
      </c>
      <c r="F23" s="30" t="str">
        <f>DEC2HEX(RAM!A197,2)&amp;CHAR(10)&amp;DEC2BIN(RAM!A197,8)&amp;CHAR(10)&amp;RAM!A197</f>
        <v>00
00000000
0</v>
      </c>
      <c r="G23" s="30" t="str">
        <f>DEC2HEX(RAM!A198,2)&amp;CHAR(10)&amp;DEC2BIN(RAM!A198,8)&amp;CHAR(10)&amp;RAM!A198</f>
        <v>00
00000000
0</v>
      </c>
      <c r="H23" s="30" t="str">
        <f>DEC2HEX(RAM!A199,2)&amp;CHAR(10)&amp;DEC2BIN(RAM!A199,8)&amp;CHAR(10)&amp;RAM!A199</f>
        <v>00
00000000
0</v>
      </c>
      <c r="I23" s="30" t="str">
        <f>DEC2HEX(RAM!A200,2)&amp;CHAR(10)&amp;DEC2BIN(RAM!A200,8)&amp;CHAR(10)&amp;RAM!A200</f>
        <v>00
00000000
0</v>
      </c>
      <c r="J23" s="30" t="str">
        <f>DEC2HEX(RAM!A201,2)&amp;CHAR(10)&amp;DEC2BIN(RAM!A201,8)&amp;CHAR(10)&amp;RAM!A201</f>
        <v>00
00000000
0</v>
      </c>
      <c r="K23" s="30" t="str">
        <f>DEC2HEX(RAM!A202,2)&amp;CHAR(10)&amp;DEC2BIN(RAM!A202,8)&amp;CHAR(10)&amp;RAM!A202</f>
        <v>00
00000000
0</v>
      </c>
      <c r="L23" s="30" t="str">
        <f>DEC2HEX(RAM!A203,2)&amp;CHAR(10)&amp;DEC2BIN(RAM!A203,8)&amp;CHAR(10)&amp;RAM!A203</f>
        <v>00
00000000
0</v>
      </c>
      <c r="M23" s="30" t="str">
        <f>DEC2HEX(RAM!A204,2)&amp;CHAR(10)&amp;DEC2BIN(RAM!A204,8)&amp;CHAR(10)&amp;RAM!A204</f>
        <v>00
00000000
0</v>
      </c>
      <c r="N23" s="30" t="str">
        <f>DEC2HEX(RAM!A205,2)&amp;CHAR(10)&amp;DEC2BIN(RAM!A205,8)&amp;CHAR(10)&amp;RAM!A205</f>
        <v>00
00000000
0</v>
      </c>
      <c r="O23" s="30" t="str">
        <f>DEC2HEX(RAM!A206,2)&amp;CHAR(10)&amp;DEC2BIN(RAM!A206,8)&amp;CHAR(10)&amp;RAM!A206</f>
        <v>00
00000000
0</v>
      </c>
      <c r="P23" s="30" t="str">
        <f>DEC2HEX(RAM!A207,2)&amp;CHAR(10)&amp;DEC2BIN(RAM!A207,8)&amp;CHAR(10)&amp;RAM!A207</f>
        <v>00
00000000
0</v>
      </c>
      <c r="Q23" s="30" t="str">
        <f>DEC2HEX(RAM!A208,2)&amp;CHAR(10)&amp;DEC2BIN(RAM!A208,8)&amp;CHAR(10)&amp;RAM!A208</f>
        <v>00
00000000
0</v>
      </c>
    </row>
    <row r="24" spans="1:17" ht="40.049999999999997" customHeight="1" x14ac:dyDescent="0.3">
      <c r="A24" s="29" t="s">
        <v>45</v>
      </c>
      <c r="B24" s="30" t="str">
        <f>DEC2HEX(RAM!A209,2)&amp;CHAR(10)&amp;DEC2BIN(RAM!A209,8)&amp;CHAR(10)&amp;RAM!A209</f>
        <v>00
00000000
0</v>
      </c>
      <c r="C24" s="30" t="str">
        <f>DEC2HEX(RAM!A210,2)&amp;CHAR(10)&amp;DEC2BIN(RAM!A210,8)&amp;CHAR(10)&amp;RAM!A210</f>
        <v>00
00000000
0</v>
      </c>
      <c r="D24" s="30" t="str">
        <f>DEC2HEX(RAM!A211,2)&amp;CHAR(10)&amp;DEC2BIN(RAM!A211,8)&amp;CHAR(10)&amp;RAM!A211</f>
        <v>00
00000000
0</v>
      </c>
      <c r="E24" s="30" t="str">
        <f>DEC2HEX(RAM!A212,2)&amp;CHAR(10)&amp;DEC2BIN(RAM!A212,8)&amp;CHAR(10)&amp;RAM!A212</f>
        <v>00
00000000
0</v>
      </c>
      <c r="F24" s="30" t="str">
        <f>DEC2HEX(RAM!A213,2)&amp;CHAR(10)&amp;DEC2BIN(RAM!A213,8)&amp;CHAR(10)&amp;RAM!A213</f>
        <v>00
00000000
0</v>
      </c>
      <c r="G24" s="30" t="str">
        <f>DEC2HEX(RAM!A214,2)&amp;CHAR(10)&amp;DEC2BIN(RAM!A214,8)&amp;CHAR(10)&amp;RAM!A214</f>
        <v>00
00000000
0</v>
      </c>
      <c r="H24" s="30" t="str">
        <f>DEC2HEX(RAM!A215,2)&amp;CHAR(10)&amp;DEC2BIN(RAM!A215,8)&amp;CHAR(10)&amp;RAM!A215</f>
        <v>00
00000000
0</v>
      </c>
      <c r="I24" s="30" t="str">
        <f>DEC2HEX(RAM!A216,2)&amp;CHAR(10)&amp;DEC2BIN(RAM!A216,8)&amp;CHAR(10)&amp;RAM!A216</f>
        <v>00
00000000
0</v>
      </c>
      <c r="J24" s="30" t="str">
        <f>DEC2HEX(RAM!A217,2)&amp;CHAR(10)&amp;DEC2BIN(RAM!A217,8)&amp;CHAR(10)&amp;RAM!A217</f>
        <v>00
00000000
0</v>
      </c>
      <c r="K24" s="30" t="str">
        <f>DEC2HEX(RAM!A218,2)&amp;CHAR(10)&amp;DEC2BIN(RAM!A218,8)&amp;CHAR(10)&amp;RAM!A218</f>
        <v>00
00000000
0</v>
      </c>
      <c r="L24" s="30" t="str">
        <f>DEC2HEX(RAM!A219,2)&amp;CHAR(10)&amp;DEC2BIN(RAM!A219,8)&amp;CHAR(10)&amp;RAM!A219</f>
        <v>00
00000000
0</v>
      </c>
      <c r="M24" s="30" t="str">
        <f>DEC2HEX(RAM!A220,2)&amp;CHAR(10)&amp;DEC2BIN(RAM!A220,8)&amp;CHAR(10)&amp;RAM!A220</f>
        <v>00
00000000
0</v>
      </c>
      <c r="N24" s="30" t="str">
        <f>DEC2HEX(RAM!A221,2)&amp;CHAR(10)&amp;DEC2BIN(RAM!A221,8)&amp;CHAR(10)&amp;RAM!A221</f>
        <v>00
00000000
0</v>
      </c>
      <c r="O24" s="30" t="str">
        <f>DEC2HEX(RAM!A222,2)&amp;CHAR(10)&amp;DEC2BIN(RAM!A222,8)&amp;CHAR(10)&amp;RAM!A222</f>
        <v>00
00000000
0</v>
      </c>
      <c r="P24" s="30" t="str">
        <f>DEC2HEX(RAM!A223,2)&amp;CHAR(10)&amp;DEC2BIN(RAM!A223,8)&amp;CHAR(10)&amp;RAM!A223</f>
        <v>00
00000000
0</v>
      </c>
      <c r="Q24" s="30" t="str">
        <f>DEC2HEX(RAM!A224,2)&amp;CHAR(10)&amp;DEC2BIN(RAM!A224,8)&amp;CHAR(10)&amp;RAM!A224</f>
        <v>00
00000000
0</v>
      </c>
    </row>
    <row r="25" spans="1:17" ht="40.049999999999997" customHeight="1" x14ac:dyDescent="0.3">
      <c r="A25" s="29" t="s">
        <v>46</v>
      </c>
      <c r="B25" s="30" t="str">
        <f>DEC2HEX(RAM!A225,2)&amp;CHAR(10)&amp;DEC2BIN(RAM!A225,8)&amp;CHAR(10)&amp;RAM!A225</f>
        <v>00
00000000
0</v>
      </c>
      <c r="C25" s="30" t="str">
        <f>DEC2HEX(RAM!A226,2)&amp;CHAR(10)&amp;DEC2BIN(RAM!A226,8)&amp;CHAR(10)&amp;RAM!A226</f>
        <v>00
00000000
0</v>
      </c>
      <c r="D25" s="30" t="str">
        <f>DEC2HEX(RAM!A227,2)&amp;CHAR(10)&amp;DEC2BIN(RAM!A227,8)&amp;CHAR(10)&amp;RAM!A227</f>
        <v>00
00000000
0</v>
      </c>
      <c r="E25" s="30" t="str">
        <f>DEC2HEX(RAM!A228,2)&amp;CHAR(10)&amp;DEC2BIN(RAM!A228,8)&amp;CHAR(10)&amp;RAM!A228</f>
        <v>00
00000000
0</v>
      </c>
      <c r="F25" s="30" t="str">
        <f>DEC2HEX(RAM!A229,2)&amp;CHAR(10)&amp;DEC2BIN(RAM!A229,8)&amp;CHAR(10)&amp;RAM!A229</f>
        <v>00
00000000
0</v>
      </c>
      <c r="G25" s="30" t="str">
        <f>DEC2HEX(RAM!A230,2)&amp;CHAR(10)&amp;DEC2BIN(RAM!A230,8)&amp;CHAR(10)&amp;RAM!A230</f>
        <v>00
00000000
0</v>
      </c>
      <c r="H25" s="30" t="str">
        <f>DEC2HEX(RAM!A231,2)&amp;CHAR(10)&amp;DEC2BIN(RAM!A231,8)&amp;CHAR(10)&amp;RAM!A231</f>
        <v>00
00000000
0</v>
      </c>
      <c r="I25" s="30" t="str">
        <f>DEC2HEX(RAM!A232,2)&amp;CHAR(10)&amp;DEC2BIN(RAM!A232,8)&amp;CHAR(10)&amp;RAM!A232</f>
        <v>00
00000000
0</v>
      </c>
      <c r="J25" s="30" t="str">
        <f>DEC2HEX(RAM!A233,2)&amp;CHAR(10)&amp;DEC2BIN(RAM!A233,8)&amp;CHAR(10)&amp;RAM!A233</f>
        <v>00
00000000
0</v>
      </c>
      <c r="K25" s="30" t="str">
        <f>DEC2HEX(RAM!A234,2)&amp;CHAR(10)&amp;DEC2BIN(RAM!A234,8)&amp;CHAR(10)&amp;RAM!A234</f>
        <v>00
00000000
0</v>
      </c>
      <c r="L25" s="30" t="str">
        <f>DEC2HEX(RAM!A235,2)&amp;CHAR(10)&amp;DEC2BIN(RAM!A235,8)&amp;CHAR(10)&amp;RAM!A235</f>
        <v>00
00000000
0</v>
      </c>
      <c r="M25" s="30" t="str">
        <f>DEC2HEX(RAM!A236,2)&amp;CHAR(10)&amp;DEC2BIN(RAM!A236,8)&amp;CHAR(10)&amp;RAM!A236</f>
        <v>00
00000000
0</v>
      </c>
      <c r="N25" s="30" t="str">
        <f>DEC2HEX(RAM!A237,2)&amp;CHAR(10)&amp;DEC2BIN(RAM!A237,8)&amp;CHAR(10)&amp;RAM!A237</f>
        <v>00
00000000
0</v>
      </c>
      <c r="O25" s="30" t="str">
        <f>DEC2HEX(RAM!A238,2)&amp;CHAR(10)&amp;DEC2BIN(RAM!A238,8)&amp;CHAR(10)&amp;RAM!A238</f>
        <v>00
00000000
0</v>
      </c>
      <c r="P25" s="30" t="str">
        <f>DEC2HEX(RAM!A239,2)&amp;CHAR(10)&amp;DEC2BIN(RAM!A239,8)&amp;CHAR(10)&amp;RAM!A239</f>
        <v>00
00000000
0</v>
      </c>
      <c r="Q25" s="30" t="str">
        <f>DEC2HEX(RAM!A240,2)&amp;CHAR(10)&amp;DEC2BIN(RAM!A240,8)&amp;CHAR(10)&amp;RAM!A240</f>
        <v>00
00000000
0</v>
      </c>
    </row>
    <row r="26" spans="1:17" ht="40.049999999999997" customHeight="1" x14ac:dyDescent="0.3">
      <c r="A26" s="29" t="s">
        <v>47</v>
      </c>
      <c r="B26" s="30" t="str">
        <f>DEC2HEX(RAM!A241,2)&amp;CHAR(10)&amp;DEC2BIN(RAM!A241,8)&amp;CHAR(10)&amp;RAM!A241</f>
        <v>00
00000000
0</v>
      </c>
      <c r="C26" s="30" t="str">
        <f>DEC2HEX(RAM!A242,2)&amp;CHAR(10)&amp;DEC2BIN(RAM!A242,8)&amp;CHAR(10)&amp;RAM!A242</f>
        <v>00
00000000
0</v>
      </c>
      <c r="D26" s="30" t="str">
        <f>DEC2HEX(RAM!A243,2)&amp;CHAR(10)&amp;DEC2BIN(RAM!A243,8)&amp;CHAR(10)&amp;RAM!A243</f>
        <v>00
00000000
0</v>
      </c>
      <c r="E26" s="30" t="str">
        <f>DEC2HEX(RAM!A244,2)&amp;CHAR(10)&amp;DEC2BIN(RAM!A244,8)&amp;CHAR(10)&amp;RAM!A244</f>
        <v>00
00000000
0</v>
      </c>
      <c r="F26" s="30" t="str">
        <f>DEC2HEX(RAM!A245,2)&amp;CHAR(10)&amp;DEC2BIN(RAM!A245,8)&amp;CHAR(10)&amp;RAM!A245</f>
        <v>00
00000000
0</v>
      </c>
      <c r="G26" s="30" t="str">
        <f>DEC2HEX(RAM!A246,2)&amp;CHAR(10)&amp;DEC2BIN(RAM!A246,8)&amp;CHAR(10)&amp;RAM!A246</f>
        <v>00
00000000
0</v>
      </c>
      <c r="H26" s="30" t="str">
        <f>DEC2HEX(RAM!A247,2)&amp;CHAR(10)&amp;DEC2BIN(RAM!A247,8)&amp;CHAR(10)&amp;RAM!A247</f>
        <v>00
00000000
0</v>
      </c>
      <c r="I26" s="30" t="str">
        <f>DEC2HEX(RAM!A248,2)&amp;CHAR(10)&amp;DEC2BIN(RAM!A248,8)&amp;CHAR(10)&amp;RAM!A248</f>
        <v>00
00000000
0</v>
      </c>
      <c r="J26" s="30" t="str">
        <f>DEC2HEX(RAM!A249,2)&amp;CHAR(10)&amp;DEC2BIN(RAM!A249,8)&amp;CHAR(10)&amp;RAM!A249</f>
        <v>00
00000000
0</v>
      </c>
      <c r="K26" s="30" t="str">
        <f>DEC2HEX(RAM!A250,2)&amp;CHAR(10)&amp;DEC2BIN(RAM!A250,8)&amp;CHAR(10)&amp;RAM!A250</f>
        <v>00
00000000
0</v>
      </c>
      <c r="L26" s="30" t="str">
        <f>DEC2HEX(RAM!A251,2)&amp;CHAR(10)&amp;DEC2BIN(RAM!A251,8)&amp;CHAR(10)&amp;RAM!A251</f>
        <v>00
00000000
0</v>
      </c>
      <c r="M26" s="30" t="str">
        <f>DEC2HEX(RAM!A252,2)&amp;CHAR(10)&amp;DEC2BIN(RAM!A252,8)&amp;CHAR(10)&amp;RAM!A252</f>
        <v>00
00000000
0</v>
      </c>
      <c r="N26" s="30" t="str">
        <f>DEC2HEX(RAM!A253,2)&amp;CHAR(10)&amp;DEC2BIN(RAM!A253,8)&amp;CHAR(10)&amp;RAM!A253</f>
        <v>00
00000000
0</v>
      </c>
      <c r="O26" s="30" t="str">
        <f>DEC2HEX(RAM!A254,2)&amp;CHAR(10)&amp;DEC2BIN(RAM!A254,8)&amp;CHAR(10)&amp;RAM!A254</f>
        <v>00
00000000
0</v>
      </c>
      <c r="P26" s="30" t="str">
        <f>DEC2HEX(RAM!A255,2)&amp;CHAR(10)&amp;DEC2BIN(RAM!A255,8)&amp;CHAR(10)&amp;RAM!A255</f>
        <v>00
00000000
0</v>
      </c>
      <c r="Q26" s="30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ABA9-3573-4C8D-A32B-AC5F94114E32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0</v>
      </c>
      <c r="C1" t="s">
        <v>0</v>
      </c>
    </row>
    <row r="2" spans="1:3" x14ac:dyDescent="0.3">
      <c r="A2" s="1">
        <v>0</v>
      </c>
    </row>
    <row r="3" spans="1:3" x14ac:dyDescent="0.3">
      <c r="A3" s="1">
        <v>0</v>
      </c>
    </row>
    <row r="4" spans="1:3" x14ac:dyDescent="0.3">
      <c r="A4" s="1">
        <v>0</v>
      </c>
    </row>
    <row r="5" spans="1:3" x14ac:dyDescent="0.3">
      <c r="A5" s="1">
        <v>0</v>
      </c>
    </row>
    <row r="6" spans="1:3" x14ac:dyDescent="0.3">
      <c r="A6" s="1">
        <v>0</v>
      </c>
    </row>
    <row r="7" spans="1:3" x14ac:dyDescent="0.3">
      <c r="A7" s="1">
        <v>0</v>
      </c>
    </row>
    <row r="8" spans="1:3" x14ac:dyDescent="0.3">
      <c r="A8" s="1">
        <v>0</v>
      </c>
    </row>
    <row r="9" spans="1:3" x14ac:dyDescent="0.3">
      <c r="A9" s="1">
        <v>0</v>
      </c>
    </row>
    <row r="10" spans="1:3" x14ac:dyDescent="0.3">
      <c r="A10" s="1">
        <v>0</v>
      </c>
    </row>
    <row r="11" spans="1:3" x14ac:dyDescent="0.3">
      <c r="A11" s="1">
        <v>0</v>
      </c>
    </row>
    <row r="12" spans="1:3" x14ac:dyDescent="0.3">
      <c r="A12" s="1">
        <v>0</v>
      </c>
    </row>
    <row r="13" spans="1:3" x14ac:dyDescent="0.3">
      <c r="A13" s="1">
        <v>0</v>
      </c>
    </row>
    <row r="14" spans="1:3" x14ac:dyDescent="0.3">
      <c r="A14" s="1">
        <v>0</v>
      </c>
    </row>
    <row r="15" spans="1:3" x14ac:dyDescent="0.3">
      <c r="A15" s="1">
        <v>0</v>
      </c>
    </row>
    <row r="16" spans="1:3" x14ac:dyDescent="0.3">
      <c r="A16" s="1">
        <v>0</v>
      </c>
    </row>
    <row r="17" spans="1:1" x14ac:dyDescent="0.3">
      <c r="A17" s="1">
        <v>0</v>
      </c>
    </row>
    <row r="18" spans="1:1" x14ac:dyDescent="0.3">
      <c r="A18" s="1">
        <v>0</v>
      </c>
    </row>
    <row r="19" spans="1:1" x14ac:dyDescent="0.3">
      <c r="A19" s="1">
        <v>0</v>
      </c>
    </row>
    <row r="20" spans="1:1" x14ac:dyDescent="0.3">
      <c r="A20" s="1">
        <v>0</v>
      </c>
    </row>
    <row r="21" spans="1:1" x14ac:dyDescent="0.3">
      <c r="A21" s="1">
        <v>0</v>
      </c>
    </row>
    <row r="22" spans="1:1" x14ac:dyDescent="0.3">
      <c r="A22" s="1">
        <v>0</v>
      </c>
    </row>
    <row r="23" spans="1:1" x14ac:dyDescent="0.3">
      <c r="A23" s="1">
        <v>0</v>
      </c>
    </row>
    <row r="24" spans="1:1" x14ac:dyDescent="0.3">
      <c r="A24" s="1">
        <v>0</v>
      </c>
    </row>
    <row r="25" spans="1:1" x14ac:dyDescent="0.3">
      <c r="A25" s="1">
        <v>0</v>
      </c>
    </row>
    <row r="26" spans="1:1" x14ac:dyDescent="0.3">
      <c r="A26" s="1">
        <v>0</v>
      </c>
    </row>
    <row r="27" spans="1:1" x14ac:dyDescent="0.3">
      <c r="A27" s="1">
        <v>0</v>
      </c>
    </row>
    <row r="28" spans="1:1" x14ac:dyDescent="0.3">
      <c r="A28" s="1">
        <v>0</v>
      </c>
    </row>
    <row r="29" spans="1:1" x14ac:dyDescent="0.3">
      <c r="A29" s="1">
        <v>0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42</v>
      </c>
    </row>
    <row r="130" spans="1:1" x14ac:dyDescent="0.3">
      <c r="A130" s="1">
        <v>0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1C31E-F001-4E0A-BD4E-BDA9469FB111}">
  <sheetPr codeName="Hoja4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24" t="s">
        <v>54</v>
      </c>
      <c r="B1" s="24" t="s">
        <v>55</v>
      </c>
      <c r="C1" s="24" t="s">
        <v>56</v>
      </c>
      <c r="D1" s="24" t="s">
        <v>7</v>
      </c>
      <c r="E1" s="24" t="s">
        <v>5</v>
      </c>
      <c r="F1" s="24" t="s">
        <v>57</v>
      </c>
    </row>
    <row r="2" spans="1:6" x14ac:dyDescent="0.3">
      <c r="A2" s="34">
        <v>0</v>
      </c>
      <c r="B2" s="34" t="str">
        <f>DEC2HEX(A2,2)&amp;"h"</f>
        <v>00h</v>
      </c>
      <c r="C2" s="34" t="str">
        <f>DEC2HEX(INDEX(RAM!A:A,A2+1),2)</f>
        <v>00</v>
      </c>
      <c r="D2" s="34" t="str">
        <f>DEC2BIN(INDEX(RAM!A:A,A2+1),8)</f>
        <v>00000000</v>
      </c>
      <c r="E2" s="34">
        <f>INDEX(RAM!A:A,A2+1)</f>
        <v>0</v>
      </c>
      <c r="F2" s="34" t="str">
        <f>IF(A2&lt;128,"Codigo","Datos")</f>
        <v>Codigo</v>
      </c>
    </row>
    <row r="3" spans="1:6" x14ac:dyDescent="0.3">
      <c r="A3" s="34">
        <v>1</v>
      </c>
      <c r="B3" s="34" t="str">
        <f>DEC2HEX(A3,2)&amp;"h"</f>
        <v>01h</v>
      </c>
      <c r="C3" s="34" t="str">
        <f>DEC2HEX(INDEX(RAM!A:A,A3+1),2)</f>
        <v>00</v>
      </c>
      <c r="D3" s="34" t="str">
        <f>DEC2BIN(INDEX(RAM!A:A,A3+1),8)</f>
        <v>00000000</v>
      </c>
      <c r="E3" s="34">
        <f>INDEX(RAM!A:A,A3+1)</f>
        <v>0</v>
      </c>
      <c r="F3" s="34" t="str">
        <f>IF(A3&lt;128,"Codigo","Datos")</f>
        <v>Codigo</v>
      </c>
    </row>
    <row r="4" spans="1:6" x14ac:dyDescent="0.3">
      <c r="A4" s="34">
        <v>2</v>
      </c>
      <c r="B4" s="34" t="str">
        <f>DEC2HEX(A4,2)&amp;"h"</f>
        <v>02h</v>
      </c>
      <c r="C4" s="34" t="str">
        <f>DEC2HEX(INDEX(RAM!A:A,A4+1),2)</f>
        <v>00</v>
      </c>
      <c r="D4" s="34" t="str">
        <f>DEC2BIN(INDEX(RAM!A:A,A4+1),8)</f>
        <v>00000000</v>
      </c>
      <c r="E4" s="34">
        <f>INDEX(RAM!A:A,A4+1)</f>
        <v>0</v>
      </c>
      <c r="F4" s="34" t="str">
        <f>IF(A4&lt;128,"Codigo","Datos")</f>
        <v>Codigo</v>
      </c>
    </row>
    <row r="5" spans="1:6" x14ac:dyDescent="0.3">
      <c r="A5" s="34">
        <v>3</v>
      </c>
      <c r="B5" s="34" t="str">
        <f>DEC2HEX(A5,2)&amp;"h"</f>
        <v>03h</v>
      </c>
      <c r="C5" s="34" t="str">
        <f>DEC2HEX(INDEX(RAM!A:A,A5+1),2)</f>
        <v>00</v>
      </c>
      <c r="D5" s="34" t="str">
        <f>DEC2BIN(INDEX(RAM!A:A,A5+1),8)</f>
        <v>00000000</v>
      </c>
      <c r="E5" s="34">
        <f>INDEX(RAM!A:A,A5+1)</f>
        <v>0</v>
      </c>
      <c r="F5" s="34" t="str">
        <f>IF(A5&lt;128,"Codigo","Datos")</f>
        <v>Codigo</v>
      </c>
    </row>
    <row r="6" spans="1:6" x14ac:dyDescent="0.3">
      <c r="A6" s="34">
        <v>4</v>
      </c>
      <c r="B6" s="34" t="str">
        <f>DEC2HEX(A6,2)&amp;"h"</f>
        <v>04h</v>
      </c>
      <c r="C6" s="34" t="str">
        <f>DEC2HEX(INDEX(RAM!A:A,A6+1),2)</f>
        <v>00</v>
      </c>
      <c r="D6" s="34" t="str">
        <f>DEC2BIN(INDEX(RAM!A:A,A6+1),8)</f>
        <v>00000000</v>
      </c>
      <c r="E6" s="34">
        <f>INDEX(RAM!A:A,A6+1)</f>
        <v>0</v>
      </c>
      <c r="F6" s="34" t="str">
        <f>IF(A6&lt;128,"Codigo","Datos")</f>
        <v>Codigo</v>
      </c>
    </row>
    <row r="7" spans="1:6" x14ac:dyDescent="0.3">
      <c r="A7" s="34">
        <v>5</v>
      </c>
      <c r="B7" s="34" t="str">
        <f>DEC2HEX(A7,2)&amp;"h"</f>
        <v>05h</v>
      </c>
      <c r="C7" s="34" t="str">
        <f>DEC2HEX(INDEX(RAM!A:A,A7+1),2)</f>
        <v>00</v>
      </c>
      <c r="D7" s="34" t="str">
        <f>DEC2BIN(INDEX(RAM!A:A,A7+1),8)</f>
        <v>00000000</v>
      </c>
      <c r="E7" s="34">
        <f>INDEX(RAM!A:A,A7+1)</f>
        <v>0</v>
      </c>
      <c r="F7" s="34" t="str">
        <f>IF(A7&lt;128,"Codigo","Datos")</f>
        <v>Codigo</v>
      </c>
    </row>
    <row r="8" spans="1:6" x14ac:dyDescent="0.3">
      <c r="A8" s="34">
        <v>6</v>
      </c>
      <c r="B8" s="34" t="str">
        <f>DEC2HEX(A8,2)&amp;"h"</f>
        <v>06h</v>
      </c>
      <c r="C8" s="34" t="str">
        <f>DEC2HEX(INDEX(RAM!A:A,A8+1),2)</f>
        <v>00</v>
      </c>
      <c r="D8" s="34" t="str">
        <f>DEC2BIN(INDEX(RAM!A:A,A8+1),8)</f>
        <v>00000000</v>
      </c>
      <c r="E8" s="34">
        <f>INDEX(RAM!A:A,A8+1)</f>
        <v>0</v>
      </c>
      <c r="F8" s="34" t="str">
        <f>IF(A8&lt;128,"Codigo","Datos")</f>
        <v>Codigo</v>
      </c>
    </row>
    <row r="9" spans="1:6" x14ac:dyDescent="0.3">
      <c r="A9" s="34">
        <v>7</v>
      </c>
      <c r="B9" s="34" t="str">
        <f>DEC2HEX(A9,2)&amp;"h"</f>
        <v>07h</v>
      </c>
      <c r="C9" s="34" t="str">
        <f>DEC2HEX(INDEX(RAM!A:A,A9+1),2)</f>
        <v>00</v>
      </c>
      <c r="D9" s="34" t="str">
        <f>DEC2BIN(INDEX(RAM!A:A,A9+1),8)</f>
        <v>00000000</v>
      </c>
      <c r="E9" s="34">
        <f>INDEX(RAM!A:A,A9+1)</f>
        <v>0</v>
      </c>
      <c r="F9" s="34" t="str">
        <f>IF(A9&lt;128,"Codigo","Datos")</f>
        <v>Codigo</v>
      </c>
    </row>
    <row r="10" spans="1:6" x14ac:dyDescent="0.3">
      <c r="A10" s="34">
        <v>8</v>
      </c>
      <c r="B10" s="34" t="str">
        <f>DEC2HEX(A10,2)&amp;"h"</f>
        <v>08h</v>
      </c>
      <c r="C10" s="34" t="str">
        <f>DEC2HEX(INDEX(RAM!A:A,A10+1),2)</f>
        <v>00</v>
      </c>
      <c r="D10" s="34" t="str">
        <f>DEC2BIN(INDEX(RAM!A:A,A10+1),8)</f>
        <v>00000000</v>
      </c>
      <c r="E10" s="34">
        <f>INDEX(RAM!A:A,A10+1)</f>
        <v>0</v>
      </c>
      <c r="F10" s="34" t="str">
        <f>IF(A10&lt;128,"Codigo","Datos")</f>
        <v>Codigo</v>
      </c>
    </row>
    <row r="11" spans="1:6" x14ac:dyDescent="0.3">
      <c r="A11" s="34">
        <v>9</v>
      </c>
      <c r="B11" s="34" t="str">
        <f>DEC2HEX(A11,2)&amp;"h"</f>
        <v>09h</v>
      </c>
      <c r="C11" s="34" t="str">
        <f>DEC2HEX(INDEX(RAM!A:A,A11+1),2)</f>
        <v>00</v>
      </c>
      <c r="D11" s="34" t="str">
        <f>DEC2BIN(INDEX(RAM!A:A,A11+1),8)</f>
        <v>00000000</v>
      </c>
      <c r="E11" s="34">
        <f>INDEX(RAM!A:A,A11+1)</f>
        <v>0</v>
      </c>
      <c r="F11" s="34" t="str">
        <f>IF(A11&lt;128,"Codigo","Datos")</f>
        <v>Codigo</v>
      </c>
    </row>
    <row r="12" spans="1:6" x14ac:dyDescent="0.3">
      <c r="A12" s="34">
        <v>10</v>
      </c>
      <c r="B12" s="34" t="str">
        <f>DEC2HEX(A12,2)&amp;"h"</f>
        <v>0Ah</v>
      </c>
      <c r="C12" s="34" t="str">
        <f>DEC2HEX(INDEX(RAM!A:A,A12+1),2)</f>
        <v>00</v>
      </c>
      <c r="D12" s="34" t="str">
        <f>DEC2BIN(INDEX(RAM!A:A,A12+1),8)</f>
        <v>00000000</v>
      </c>
      <c r="E12" s="34">
        <f>INDEX(RAM!A:A,A12+1)</f>
        <v>0</v>
      </c>
      <c r="F12" s="34" t="str">
        <f>IF(A12&lt;128,"Codigo","Datos")</f>
        <v>Codigo</v>
      </c>
    </row>
    <row r="13" spans="1:6" x14ac:dyDescent="0.3">
      <c r="A13" s="34">
        <v>11</v>
      </c>
      <c r="B13" s="34" t="str">
        <f>DEC2HEX(A13,2)&amp;"h"</f>
        <v>0Bh</v>
      </c>
      <c r="C13" s="34" t="str">
        <f>DEC2HEX(INDEX(RAM!A:A,A13+1),2)</f>
        <v>00</v>
      </c>
      <c r="D13" s="34" t="str">
        <f>DEC2BIN(INDEX(RAM!A:A,A13+1),8)</f>
        <v>00000000</v>
      </c>
      <c r="E13" s="34">
        <f>INDEX(RAM!A:A,A13+1)</f>
        <v>0</v>
      </c>
      <c r="F13" s="34" t="str">
        <f>IF(A13&lt;128,"Codigo","Datos")</f>
        <v>Codigo</v>
      </c>
    </row>
    <row r="14" spans="1:6" x14ac:dyDescent="0.3">
      <c r="A14" s="34">
        <v>12</v>
      </c>
      <c r="B14" s="34" t="str">
        <f>DEC2HEX(A14,2)&amp;"h"</f>
        <v>0Ch</v>
      </c>
      <c r="C14" s="34" t="str">
        <f>DEC2HEX(INDEX(RAM!A:A,A14+1),2)</f>
        <v>00</v>
      </c>
      <c r="D14" s="34" t="str">
        <f>DEC2BIN(INDEX(RAM!A:A,A14+1),8)</f>
        <v>00000000</v>
      </c>
      <c r="E14" s="34">
        <f>INDEX(RAM!A:A,A14+1)</f>
        <v>0</v>
      </c>
      <c r="F14" s="34" t="str">
        <f>IF(A14&lt;128,"Codigo","Datos")</f>
        <v>Codigo</v>
      </c>
    </row>
    <row r="15" spans="1:6" x14ac:dyDescent="0.3">
      <c r="A15" s="34">
        <v>13</v>
      </c>
      <c r="B15" s="34" t="str">
        <f>DEC2HEX(A15,2)&amp;"h"</f>
        <v>0Dh</v>
      </c>
      <c r="C15" s="34" t="str">
        <f>DEC2HEX(INDEX(RAM!A:A,A15+1),2)</f>
        <v>00</v>
      </c>
      <c r="D15" s="34" t="str">
        <f>DEC2BIN(INDEX(RAM!A:A,A15+1),8)</f>
        <v>00000000</v>
      </c>
      <c r="E15" s="34">
        <f>INDEX(RAM!A:A,A15+1)</f>
        <v>0</v>
      </c>
      <c r="F15" s="34" t="str">
        <f>IF(A15&lt;128,"Codigo","Datos")</f>
        <v>Codigo</v>
      </c>
    </row>
    <row r="16" spans="1:6" x14ac:dyDescent="0.3">
      <c r="A16" s="34">
        <v>14</v>
      </c>
      <c r="B16" s="34" t="str">
        <f>DEC2HEX(A16,2)&amp;"h"</f>
        <v>0Eh</v>
      </c>
      <c r="C16" s="34" t="str">
        <f>DEC2HEX(INDEX(RAM!A:A,A16+1),2)</f>
        <v>00</v>
      </c>
      <c r="D16" s="34" t="str">
        <f>DEC2BIN(INDEX(RAM!A:A,A16+1),8)</f>
        <v>00000000</v>
      </c>
      <c r="E16" s="34">
        <f>INDEX(RAM!A:A,A16+1)</f>
        <v>0</v>
      </c>
      <c r="F16" s="34" t="str">
        <f>IF(A16&lt;128,"Codigo","Datos")</f>
        <v>Codigo</v>
      </c>
    </row>
    <row r="17" spans="1:6" x14ac:dyDescent="0.3">
      <c r="A17" s="34">
        <v>15</v>
      </c>
      <c r="B17" s="34" t="str">
        <f>DEC2HEX(A17,2)&amp;"h"</f>
        <v>0Fh</v>
      </c>
      <c r="C17" s="34" t="str">
        <f>DEC2HEX(INDEX(RAM!A:A,A17+1),2)</f>
        <v>00</v>
      </c>
      <c r="D17" s="34" t="str">
        <f>DEC2BIN(INDEX(RAM!A:A,A17+1),8)</f>
        <v>00000000</v>
      </c>
      <c r="E17" s="34">
        <f>INDEX(RAM!A:A,A17+1)</f>
        <v>0</v>
      </c>
      <c r="F17" s="34" t="str">
        <f>IF(A17&lt;128,"Codigo","Datos")</f>
        <v>Codigo</v>
      </c>
    </row>
    <row r="18" spans="1:6" x14ac:dyDescent="0.3">
      <c r="A18" s="34">
        <v>16</v>
      </c>
      <c r="B18" s="34" t="str">
        <f>DEC2HEX(A18,2)&amp;"h"</f>
        <v>10h</v>
      </c>
      <c r="C18" s="34" t="str">
        <f>DEC2HEX(INDEX(RAM!A:A,A18+1),2)</f>
        <v>00</v>
      </c>
      <c r="D18" s="34" t="str">
        <f>DEC2BIN(INDEX(RAM!A:A,A18+1),8)</f>
        <v>00000000</v>
      </c>
      <c r="E18" s="34">
        <f>INDEX(RAM!A:A,A18+1)</f>
        <v>0</v>
      </c>
      <c r="F18" s="34" t="str">
        <f>IF(A18&lt;128,"Codigo","Datos")</f>
        <v>Codigo</v>
      </c>
    </row>
    <row r="19" spans="1:6" x14ac:dyDescent="0.3">
      <c r="A19" s="34">
        <v>17</v>
      </c>
      <c r="B19" s="34" t="str">
        <f>DEC2HEX(A19,2)&amp;"h"</f>
        <v>11h</v>
      </c>
      <c r="C19" s="34" t="str">
        <f>DEC2HEX(INDEX(RAM!A:A,A19+1),2)</f>
        <v>00</v>
      </c>
      <c r="D19" s="34" t="str">
        <f>DEC2BIN(INDEX(RAM!A:A,A19+1),8)</f>
        <v>00000000</v>
      </c>
      <c r="E19" s="34">
        <f>INDEX(RAM!A:A,A19+1)</f>
        <v>0</v>
      </c>
      <c r="F19" s="34" t="str">
        <f>IF(A19&lt;128,"Codigo","Datos")</f>
        <v>Codigo</v>
      </c>
    </row>
    <row r="20" spans="1:6" x14ac:dyDescent="0.3">
      <c r="A20" s="34">
        <v>18</v>
      </c>
      <c r="B20" s="34" t="str">
        <f>DEC2HEX(A20,2)&amp;"h"</f>
        <v>12h</v>
      </c>
      <c r="C20" s="34" t="str">
        <f>DEC2HEX(INDEX(RAM!A:A,A20+1),2)</f>
        <v>00</v>
      </c>
      <c r="D20" s="34" t="str">
        <f>DEC2BIN(INDEX(RAM!A:A,A20+1),8)</f>
        <v>00000000</v>
      </c>
      <c r="E20" s="34">
        <f>INDEX(RAM!A:A,A20+1)</f>
        <v>0</v>
      </c>
      <c r="F20" s="34" t="str">
        <f>IF(A20&lt;128,"Codigo","Datos")</f>
        <v>Codigo</v>
      </c>
    </row>
    <row r="21" spans="1:6" x14ac:dyDescent="0.3">
      <c r="A21" s="34">
        <v>19</v>
      </c>
      <c r="B21" s="34" t="str">
        <f>DEC2HEX(A21,2)&amp;"h"</f>
        <v>13h</v>
      </c>
      <c r="C21" s="34" t="str">
        <f>DEC2HEX(INDEX(RAM!A:A,A21+1),2)</f>
        <v>00</v>
      </c>
      <c r="D21" s="34" t="str">
        <f>DEC2BIN(INDEX(RAM!A:A,A21+1),8)</f>
        <v>00000000</v>
      </c>
      <c r="E21" s="34">
        <f>INDEX(RAM!A:A,A21+1)</f>
        <v>0</v>
      </c>
      <c r="F21" s="34" t="str">
        <f>IF(A21&lt;128,"Codigo","Datos")</f>
        <v>Codigo</v>
      </c>
    </row>
    <row r="22" spans="1:6" x14ac:dyDescent="0.3">
      <c r="A22" s="34">
        <v>20</v>
      </c>
      <c r="B22" s="34" t="str">
        <f>DEC2HEX(A22,2)&amp;"h"</f>
        <v>14h</v>
      </c>
      <c r="C22" s="34" t="str">
        <f>DEC2HEX(INDEX(RAM!A:A,A22+1),2)</f>
        <v>00</v>
      </c>
      <c r="D22" s="34" t="str">
        <f>DEC2BIN(INDEX(RAM!A:A,A22+1),8)</f>
        <v>00000000</v>
      </c>
      <c r="E22" s="34">
        <f>INDEX(RAM!A:A,A22+1)</f>
        <v>0</v>
      </c>
      <c r="F22" s="34" t="str">
        <f>IF(A22&lt;128,"Codigo","Datos")</f>
        <v>Codigo</v>
      </c>
    </row>
    <row r="23" spans="1:6" x14ac:dyDescent="0.3">
      <c r="A23" s="34">
        <v>21</v>
      </c>
      <c r="B23" s="34" t="str">
        <f>DEC2HEX(A23,2)&amp;"h"</f>
        <v>15h</v>
      </c>
      <c r="C23" s="34" t="str">
        <f>DEC2HEX(INDEX(RAM!A:A,A23+1),2)</f>
        <v>00</v>
      </c>
      <c r="D23" s="34" t="str">
        <f>DEC2BIN(INDEX(RAM!A:A,A23+1),8)</f>
        <v>00000000</v>
      </c>
      <c r="E23" s="34">
        <f>INDEX(RAM!A:A,A23+1)</f>
        <v>0</v>
      </c>
      <c r="F23" s="34" t="str">
        <f>IF(A23&lt;128,"Codigo","Datos")</f>
        <v>Codigo</v>
      </c>
    </row>
    <row r="24" spans="1:6" x14ac:dyDescent="0.3">
      <c r="A24" s="34">
        <v>22</v>
      </c>
      <c r="B24" s="34" t="str">
        <f>DEC2HEX(A24,2)&amp;"h"</f>
        <v>16h</v>
      </c>
      <c r="C24" s="34" t="str">
        <f>DEC2HEX(INDEX(RAM!A:A,A24+1),2)</f>
        <v>00</v>
      </c>
      <c r="D24" s="34" t="str">
        <f>DEC2BIN(INDEX(RAM!A:A,A24+1),8)</f>
        <v>00000000</v>
      </c>
      <c r="E24" s="34">
        <f>INDEX(RAM!A:A,A24+1)</f>
        <v>0</v>
      </c>
      <c r="F24" s="34" t="str">
        <f>IF(A24&lt;128,"Codigo","Datos")</f>
        <v>Codigo</v>
      </c>
    </row>
    <row r="25" spans="1:6" x14ac:dyDescent="0.3">
      <c r="A25" s="34">
        <v>23</v>
      </c>
      <c r="B25" s="34" t="str">
        <f>DEC2HEX(A25,2)&amp;"h"</f>
        <v>17h</v>
      </c>
      <c r="C25" s="34" t="str">
        <f>DEC2HEX(INDEX(RAM!A:A,A25+1),2)</f>
        <v>00</v>
      </c>
      <c r="D25" s="34" t="str">
        <f>DEC2BIN(INDEX(RAM!A:A,A25+1),8)</f>
        <v>00000000</v>
      </c>
      <c r="E25" s="34">
        <f>INDEX(RAM!A:A,A25+1)</f>
        <v>0</v>
      </c>
      <c r="F25" s="34" t="str">
        <f>IF(A25&lt;128,"Codigo","Datos")</f>
        <v>Codigo</v>
      </c>
    </row>
    <row r="26" spans="1:6" x14ac:dyDescent="0.3">
      <c r="A26" s="34">
        <v>24</v>
      </c>
      <c r="B26" s="34" t="str">
        <f>DEC2HEX(A26,2)&amp;"h"</f>
        <v>18h</v>
      </c>
      <c r="C26" s="34" t="str">
        <f>DEC2HEX(INDEX(RAM!A:A,A26+1),2)</f>
        <v>00</v>
      </c>
      <c r="D26" s="34" t="str">
        <f>DEC2BIN(INDEX(RAM!A:A,A26+1),8)</f>
        <v>00000000</v>
      </c>
      <c r="E26" s="34">
        <f>INDEX(RAM!A:A,A26+1)</f>
        <v>0</v>
      </c>
      <c r="F26" s="34" t="str">
        <f>IF(A26&lt;128,"Codigo","Datos")</f>
        <v>Codigo</v>
      </c>
    </row>
    <row r="27" spans="1:6" x14ac:dyDescent="0.3">
      <c r="A27" s="34">
        <v>25</v>
      </c>
      <c r="B27" s="34" t="str">
        <f>DEC2HEX(A27,2)&amp;"h"</f>
        <v>19h</v>
      </c>
      <c r="C27" s="34" t="str">
        <f>DEC2HEX(INDEX(RAM!A:A,A27+1),2)</f>
        <v>00</v>
      </c>
      <c r="D27" s="34" t="str">
        <f>DEC2BIN(INDEX(RAM!A:A,A27+1),8)</f>
        <v>00000000</v>
      </c>
      <c r="E27" s="34">
        <f>INDEX(RAM!A:A,A27+1)</f>
        <v>0</v>
      </c>
      <c r="F27" s="34" t="str">
        <f>IF(A27&lt;128,"Codigo","Datos")</f>
        <v>Codigo</v>
      </c>
    </row>
    <row r="28" spans="1:6" x14ac:dyDescent="0.3">
      <c r="A28" s="34">
        <v>26</v>
      </c>
      <c r="B28" s="34" t="str">
        <f>DEC2HEX(A28,2)&amp;"h"</f>
        <v>1Ah</v>
      </c>
      <c r="C28" s="34" t="str">
        <f>DEC2HEX(INDEX(RAM!A:A,A28+1),2)</f>
        <v>00</v>
      </c>
      <c r="D28" s="34" t="str">
        <f>DEC2BIN(INDEX(RAM!A:A,A28+1),8)</f>
        <v>00000000</v>
      </c>
      <c r="E28" s="34">
        <f>INDEX(RAM!A:A,A28+1)</f>
        <v>0</v>
      </c>
      <c r="F28" s="34" t="str">
        <f>IF(A28&lt;128,"Codigo","Datos")</f>
        <v>Codigo</v>
      </c>
    </row>
    <row r="29" spans="1:6" x14ac:dyDescent="0.3">
      <c r="A29" s="34">
        <v>27</v>
      </c>
      <c r="B29" s="34" t="str">
        <f>DEC2HEX(A29,2)&amp;"h"</f>
        <v>1Bh</v>
      </c>
      <c r="C29" s="34" t="str">
        <f>DEC2HEX(INDEX(RAM!A:A,A29+1),2)</f>
        <v>00</v>
      </c>
      <c r="D29" s="34" t="str">
        <f>DEC2BIN(INDEX(RAM!A:A,A29+1),8)</f>
        <v>00000000</v>
      </c>
      <c r="E29" s="34">
        <f>INDEX(RAM!A:A,A29+1)</f>
        <v>0</v>
      </c>
      <c r="F29" s="34" t="str">
        <f>IF(A29&lt;128,"Codigo","Datos")</f>
        <v>Codigo</v>
      </c>
    </row>
    <row r="30" spans="1:6" x14ac:dyDescent="0.3">
      <c r="A30" s="34">
        <v>28</v>
      </c>
      <c r="B30" s="34" t="str">
        <f>DEC2HEX(A30,2)&amp;"h"</f>
        <v>1Ch</v>
      </c>
      <c r="C30" s="34" t="str">
        <f>DEC2HEX(INDEX(RAM!A:A,A30+1),2)</f>
        <v>00</v>
      </c>
      <c r="D30" s="34" t="str">
        <f>DEC2BIN(INDEX(RAM!A:A,A30+1),8)</f>
        <v>00000000</v>
      </c>
      <c r="E30" s="34">
        <f>INDEX(RAM!A:A,A30+1)</f>
        <v>0</v>
      </c>
      <c r="F30" s="34" t="str">
        <f>IF(A30&lt;128,"Codigo","Datos")</f>
        <v>Codigo</v>
      </c>
    </row>
    <row r="31" spans="1:6" x14ac:dyDescent="0.3">
      <c r="A31" s="34">
        <v>29</v>
      </c>
      <c r="B31" s="34" t="str">
        <f>DEC2HEX(A31,2)&amp;"h"</f>
        <v>1Dh</v>
      </c>
      <c r="C31" s="34" t="str">
        <f>DEC2HEX(INDEX(RAM!A:A,A31+1),2)</f>
        <v>00</v>
      </c>
      <c r="D31" s="34" t="str">
        <f>DEC2BIN(INDEX(RAM!A:A,A31+1),8)</f>
        <v>00000000</v>
      </c>
      <c r="E31" s="34">
        <f>INDEX(RAM!A:A,A31+1)</f>
        <v>0</v>
      </c>
      <c r="F31" s="34" t="str">
        <f>IF(A31&lt;128,"Codigo","Datos")</f>
        <v>Codigo</v>
      </c>
    </row>
    <row r="32" spans="1:6" x14ac:dyDescent="0.3">
      <c r="A32" s="34">
        <v>30</v>
      </c>
      <c r="B32" s="34" t="str">
        <f>DEC2HEX(A32,2)&amp;"h"</f>
        <v>1Eh</v>
      </c>
      <c r="C32" s="34" t="str">
        <f>DEC2HEX(INDEX(RAM!A:A,A32+1),2)</f>
        <v>00</v>
      </c>
      <c r="D32" s="34" t="str">
        <f>DEC2BIN(INDEX(RAM!A:A,A32+1),8)</f>
        <v>00000000</v>
      </c>
      <c r="E32" s="34">
        <f>INDEX(RAM!A:A,A32+1)</f>
        <v>0</v>
      </c>
      <c r="F32" s="34" t="str">
        <f>IF(A32&lt;128,"Codigo","Datos")</f>
        <v>Codigo</v>
      </c>
    </row>
    <row r="33" spans="1:6" x14ac:dyDescent="0.3">
      <c r="A33" s="34">
        <v>31</v>
      </c>
      <c r="B33" s="34" t="str">
        <f>DEC2HEX(A33,2)&amp;"h"</f>
        <v>1Fh</v>
      </c>
      <c r="C33" s="34" t="str">
        <f>DEC2HEX(INDEX(RAM!A:A,A33+1),2)</f>
        <v>00</v>
      </c>
      <c r="D33" s="34" t="str">
        <f>DEC2BIN(INDEX(RAM!A:A,A33+1),8)</f>
        <v>00000000</v>
      </c>
      <c r="E33" s="34">
        <f>INDEX(RAM!A:A,A33+1)</f>
        <v>0</v>
      </c>
      <c r="F33" s="34" t="str">
        <f>IF(A33&lt;128,"Codigo","Datos")</f>
        <v>Codigo</v>
      </c>
    </row>
    <row r="34" spans="1:6" x14ac:dyDescent="0.3">
      <c r="A34" s="34">
        <v>32</v>
      </c>
      <c r="B34" s="34" t="str">
        <f>DEC2HEX(A34,2)&amp;"h"</f>
        <v>20h</v>
      </c>
      <c r="C34" s="34" t="str">
        <f>DEC2HEX(INDEX(RAM!A:A,A34+1),2)</f>
        <v>00</v>
      </c>
      <c r="D34" s="34" t="str">
        <f>DEC2BIN(INDEX(RAM!A:A,A34+1),8)</f>
        <v>00000000</v>
      </c>
      <c r="E34" s="34">
        <f>INDEX(RAM!A:A,A34+1)</f>
        <v>0</v>
      </c>
      <c r="F34" s="34" t="str">
        <f>IF(A34&lt;128,"Codigo","Datos")</f>
        <v>Codigo</v>
      </c>
    </row>
    <row r="35" spans="1:6" x14ac:dyDescent="0.3">
      <c r="A35" s="34">
        <v>33</v>
      </c>
      <c r="B35" s="34" t="str">
        <f>DEC2HEX(A35,2)&amp;"h"</f>
        <v>21h</v>
      </c>
      <c r="C35" s="34" t="str">
        <f>DEC2HEX(INDEX(RAM!A:A,A35+1),2)</f>
        <v>00</v>
      </c>
      <c r="D35" s="34" t="str">
        <f>DEC2BIN(INDEX(RAM!A:A,A35+1),8)</f>
        <v>00000000</v>
      </c>
      <c r="E35" s="34">
        <f>INDEX(RAM!A:A,A35+1)</f>
        <v>0</v>
      </c>
      <c r="F35" s="34" t="str">
        <f>IF(A35&lt;128,"Codigo","Datos")</f>
        <v>Codigo</v>
      </c>
    </row>
    <row r="36" spans="1:6" x14ac:dyDescent="0.3">
      <c r="A36" s="34">
        <v>34</v>
      </c>
      <c r="B36" s="34" t="str">
        <f>DEC2HEX(A36,2)&amp;"h"</f>
        <v>22h</v>
      </c>
      <c r="C36" s="34" t="str">
        <f>DEC2HEX(INDEX(RAM!A:A,A36+1),2)</f>
        <v>00</v>
      </c>
      <c r="D36" s="34" t="str">
        <f>DEC2BIN(INDEX(RAM!A:A,A36+1),8)</f>
        <v>00000000</v>
      </c>
      <c r="E36" s="34">
        <f>INDEX(RAM!A:A,A36+1)</f>
        <v>0</v>
      </c>
      <c r="F36" s="34" t="str">
        <f>IF(A36&lt;128,"Codigo","Datos")</f>
        <v>Codigo</v>
      </c>
    </row>
    <row r="37" spans="1:6" x14ac:dyDescent="0.3">
      <c r="A37" s="34">
        <v>35</v>
      </c>
      <c r="B37" s="34" t="str">
        <f>DEC2HEX(A37,2)&amp;"h"</f>
        <v>23h</v>
      </c>
      <c r="C37" s="34" t="str">
        <f>DEC2HEX(INDEX(RAM!A:A,A37+1),2)</f>
        <v>00</v>
      </c>
      <c r="D37" s="34" t="str">
        <f>DEC2BIN(INDEX(RAM!A:A,A37+1),8)</f>
        <v>00000000</v>
      </c>
      <c r="E37" s="34">
        <f>INDEX(RAM!A:A,A37+1)</f>
        <v>0</v>
      </c>
      <c r="F37" s="34" t="str">
        <f>IF(A37&lt;128,"Codigo","Datos")</f>
        <v>Codigo</v>
      </c>
    </row>
    <row r="38" spans="1:6" x14ac:dyDescent="0.3">
      <c r="A38" s="34">
        <v>36</v>
      </c>
      <c r="B38" s="34" t="str">
        <f>DEC2HEX(A38,2)&amp;"h"</f>
        <v>24h</v>
      </c>
      <c r="C38" s="34" t="str">
        <f>DEC2HEX(INDEX(RAM!A:A,A38+1),2)</f>
        <v>00</v>
      </c>
      <c r="D38" s="34" t="str">
        <f>DEC2BIN(INDEX(RAM!A:A,A38+1),8)</f>
        <v>00000000</v>
      </c>
      <c r="E38" s="34">
        <f>INDEX(RAM!A:A,A38+1)</f>
        <v>0</v>
      </c>
      <c r="F38" s="34" t="str">
        <f>IF(A38&lt;128,"Codigo","Datos")</f>
        <v>Codigo</v>
      </c>
    </row>
    <row r="39" spans="1:6" x14ac:dyDescent="0.3">
      <c r="A39" s="34">
        <v>37</v>
      </c>
      <c r="B39" s="34" t="str">
        <f>DEC2HEX(A39,2)&amp;"h"</f>
        <v>25h</v>
      </c>
      <c r="C39" s="34" t="str">
        <f>DEC2HEX(INDEX(RAM!A:A,A39+1),2)</f>
        <v>00</v>
      </c>
      <c r="D39" s="34" t="str">
        <f>DEC2BIN(INDEX(RAM!A:A,A39+1),8)</f>
        <v>00000000</v>
      </c>
      <c r="E39" s="34">
        <f>INDEX(RAM!A:A,A39+1)</f>
        <v>0</v>
      </c>
      <c r="F39" s="34" t="str">
        <f>IF(A39&lt;128,"Codigo","Datos")</f>
        <v>Codigo</v>
      </c>
    </row>
    <row r="40" spans="1:6" x14ac:dyDescent="0.3">
      <c r="A40" s="34">
        <v>38</v>
      </c>
      <c r="B40" s="34" t="str">
        <f>DEC2HEX(A40,2)&amp;"h"</f>
        <v>26h</v>
      </c>
      <c r="C40" s="34" t="str">
        <f>DEC2HEX(INDEX(RAM!A:A,A40+1),2)</f>
        <v>00</v>
      </c>
      <c r="D40" s="34" t="str">
        <f>DEC2BIN(INDEX(RAM!A:A,A40+1),8)</f>
        <v>00000000</v>
      </c>
      <c r="E40" s="34">
        <f>INDEX(RAM!A:A,A40+1)</f>
        <v>0</v>
      </c>
      <c r="F40" s="34" t="str">
        <f>IF(A40&lt;128,"Codigo","Datos")</f>
        <v>Codigo</v>
      </c>
    </row>
    <row r="41" spans="1:6" x14ac:dyDescent="0.3">
      <c r="A41" s="34">
        <v>39</v>
      </c>
      <c r="B41" s="34" t="str">
        <f>DEC2HEX(A41,2)&amp;"h"</f>
        <v>27h</v>
      </c>
      <c r="C41" s="34" t="str">
        <f>DEC2HEX(INDEX(RAM!A:A,A41+1),2)</f>
        <v>00</v>
      </c>
      <c r="D41" s="34" t="str">
        <f>DEC2BIN(INDEX(RAM!A:A,A41+1),8)</f>
        <v>00000000</v>
      </c>
      <c r="E41" s="34">
        <f>INDEX(RAM!A:A,A41+1)</f>
        <v>0</v>
      </c>
      <c r="F41" s="34" t="str">
        <f>IF(A41&lt;128,"Codigo","Datos")</f>
        <v>Codigo</v>
      </c>
    </row>
    <row r="42" spans="1:6" x14ac:dyDescent="0.3">
      <c r="A42" s="34">
        <v>40</v>
      </c>
      <c r="B42" s="34" t="str">
        <f>DEC2HEX(A42,2)&amp;"h"</f>
        <v>28h</v>
      </c>
      <c r="C42" s="34" t="str">
        <f>DEC2HEX(INDEX(RAM!A:A,A42+1),2)</f>
        <v>00</v>
      </c>
      <c r="D42" s="34" t="str">
        <f>DEC2BIN(INDEX(RAM!A:A,A42+1),8)</f>
        <v>00000000</v>
      </c>
      <c r="E42" s="34">
        <f>INDEX(RAM!A:A,A42+1)</f>
        <v>0</v>
      </c>
      <c r="F42" s="34" t="str">
        <f>IF(A42&lt;128,"Codigo","Datos")</f>
        <v>Codigo</v>
      </c>
    </row>
    <row r="43" spans="1:6" x14ac:dyDescent="0.3">
      <c r="A43" s="34">
        <v>41</v>
      </c>
      <c r="B43" s="34" t="str">
        <f>DEC2HEX(A43,2)&amp;"h"</f>
        <v>29h</v>
      </c>
      <c r="C43" s="34" t="str">
        <f>DEC2HEX(INDEX(RAM!A:A,A43+1),2)</f>
        <v>00</v>
      </c>
      <c r="D43" s="34" t="str">
        <f>DEC2BIN(INDEX(RAM!A:A,A43+1),8)</f>
        <v>00000000</v>
      </c>
      <c r="E43" s="34">
        <f>INDEX(RAM!A:A,A43+1)</f>
        <v>0</v>
      </c>
      <c r="F43" s="34" t="str">
        <f>IF(A43&lt;128,"Codigo","Datos")</f>
        <v>Codigo</v>
      </c>
    </row>
    <row r="44" spans="1:6" x14ac:dyDescent="0.3">
      <c r="A44" s="34">
        <v>42</v>
      </c>
      <c r="B44" s="34" t="str">
        <f>DEC2HEX(A44,2)&amp;"h"</f>
        <v>2Ah</v>
      </c>
      <c r="C44" s="34" t="str">
        <f>DEC2HEX(INDEX(RAM!A:A,A44+1),2)</f>
        <v>00</v>
      </c>
      <c r="D44" s="34" t="str">
        <f>DEC2BIN(INDEX(RAM!A:A,A44+1),8)</f>
        <v>00000000</v>
      </c>
      <c r="E44" s="34">
        <f>INDEX(RAM!A:A,A44+1)</f>
        <v>0</v>
      </c>
      <c r="F44" s="34" t="str">
        <f>IF(A44&lt;128,"Codigo","Datos")</f>
        <v>Codigo</v>
      </c>
    </row>
    <row r="45" spans="1:6" x14ac:dyDescent="0.3">
      <c r="A45" s="34">
        <v>43</v>
      </c>
      <c r="B45" s="34" t="str">
        <f>DEC2HEX(A45,2)&amp;"h"</f>
        <v>2Bh</v>
      </c>
      <c r="C45" s="34" t="str">
        <f>DEC2HEX(INDEX(RAM!A:A,A45+1),2)</f>
        <v>00</v>
      </c>
      <c r="D45" s="34" t="str">
        <f>DEC2BIN(INDEX(RAM!A:A,A45+1),8)</f>
        <v>00000000</v>
      </c>
      <c r="E45" s="34">
        <f>INDEX(RAM!A:A,A45+1)</f>
        <v>0</v>
      </c>
      <c r="F45" s="34" t="str">
        <f>IF(A45&lt;128,"Codigo","Datos")</f>
        <v>Codigo</v>
      </c>
    </row>
    <row r="46" spans="1:6" x14ac:dyDescent="0.3">
      <c r="A46" s="34">
        <v>44</v>
      </c>
      <c r="B46" s="34" t="str">
        <f>DEC2HEX(A46,2)&amp;"h"</f>
        <v>2Ch</v>
      </c>
      <c r="C46" s="34" t="str">
        <f>DEC2HEX(INDEX(RAM!A:A,A46+1),2)</f>
        <v>00</v>
      </c>
      <c r="D46" s="34" t="str">
        <f>DEC2BIN(INDEX(RAM!A:A,A46+1),8)</f>
        <v>00000000</v>
      </c>
      <c r="E46" s="34">
        <f>INDEX(RAM!A:A,A46+1)</f>
        <v>0</v>
      </c>
      <c r="F46" s="34" t="str">
        <f>IF(A46&lt;128,"Codigo","Datos")</f>
        <v>Codigo</v>
      </c>
    </row>
    <row r="47" spans="1:6" x14ac:dyDescent="0.3">
      <c r="A47" s="34">
        <v>45</v>
      </c>
      <c r="B47" s="34" t="str">
        <f>DEC2HEX(A47,2)&amp;"h"</f>
        <v>2Dh</v>
      </c>
      <c r="C47" s="34" t="str">
        <f>DEC2HEX(INDEX(RAM!A:A,A47+1),2)</f>
        <v>00</v>
      </c>
      <c r="D47" s="34" t="str">
        <f>DEC2BIN(INDEX(RAM!A:A,A47+1),8)</f>
        <v>00000000</v>
      </c>
      <c r="E47" s="34">
        <f>INDEX(RAM!A:A,A47+1)</f>
        <v>0</v>
      </c>
      <c r="F47" s="34" t="str">
        <f>IF(A47&lt;128,"Codigo","Datos")</f>
        <v>Codigo</v>
      </c>
    </row>
    <row r="48" spans="1:6" x14ac:dyDescent="0.3">
      <c r="A48" s="34">
        <v>46</v>
      </c>
      <c r="B48" s="34" t="str">
        <f>DEC2HEX(A48,2)&amp;"h"</f>
        <v>2Eh</v>
      </c>
      <c r="C48" s="34" t="str">
        <f>DEC2HEX(INDEX(RAM!A:A,A48+1),2)</f>
        <v>00</v>
      </c>
      <c r="D48" s="34" t="str">
        <f>DEC2BIN(INDEX(RAM!A:A,A48+1),8)</f>
        <v>00000000</v>
      </c>
      <c r="E48" s="34">
        <f>INDEX(RAM!A:A,A48+1)</f>
        <v>0</v>
      </c>
      <c r="F48" s="34" t="str">
        <f>IF(A48&lt;128,"Codigo","Datos")</f>
        <v>Codigo</v>
      </c>
    </row>
    <row r="49" spans="1:6" x14ac:dyDescent="0.3">
      <c r="A49" s="34">
        <v>47</v>
      </c>
      <c r="B49" s="34" t="str">
        <f>DEC2HEX(A49,2)&amp;"h"</f>
        <v>2Fh</v>
      </c>
      <c r="C49" s="34" t="str">
        <f>DEC2HEX(INDEX(RAM!A:A,A49+1),2)</f>
        <v>00</v>
      </c>
      <c r="D49" s="34" t="str">
        <f>DEC2BIN(INDEX(RAM!A:A,A49+1),8)</f>
        <v>00000000</v>
      </c>
      <c r="E49" s="34">
        <f>INDEX(RAM!A:A,A49+1)</f>
        <v>0</v>
      </c>
      <c r="F49" s="34" t="str">
        <f>IF(A49&lt;128,"Codigo","Datos")</f>
        <v>Codigo</v>
      </c>
    </row>
    <row r="50" spans="1:6" x14ac:dyDescent="0.3">
      <c r="A50" s="34">
        <v>48</v>
      </c>
      <c r="B50" s="34" t="str">
        <f>DEC2HEX(A50,2)&amp;"h"</f>
        <v>30h</v>
      </c>
      <c r="C50" s="34" t="str">
        <f>DEC2HEX(INDEX(RAM!A:A,A50+1),2)</f>
        <v>00</v>
      </c>
      <c r="D50" s="34" t="str">
        <f>DEC2BIN(INDEX(RAM!A:A,A50+1),8)</f>
        <v>00000000</v>
      </c>
      <c r="E50" s="34">
        <f>INDEX(RAM!A:A,A50+1)</f>
        <v>0</v>
      </c>
      <c r="F50" s="34" t="str">
        <f>IF(A50&lt;128,"Codigo","Datos")</f>
        <v>Codigo</v>
      </c>
    </row>
    <row r="51" spans="1:6" x14ac:dyDescent="0.3">
      <c r="A51" s="34">
        <v>49</v>
      </c>
      <c r="B51" s="34" t="str">
        <f>DEC2HEX(A51,2)&amp;"h"</f>
        <v>31h</v>
      </c>
      <c r="C51" s="34" t="str">
        <f>DEC2HEX(INDEX(RAM!A:A,A51+1),2)</f>
        <v>00</v>
      </c>
      <c r="D51" s="34" t="str">
        <f>DEC2BIN(INDEX(RAM!A:A,A51+1),8)</f>
        <v>00000000</v>
      </c>
      <c r="E51" s="34">
        <f>INDEX(RAM!A:A,A51+1)</f>
        <v>0</v>
      </c>
      <c r="F51" s="34" t="str">
        <f>IF(A51&lt;128,"Codigo","Datos")</f>
        <v>Codigo</v>
      </c>
    </row>
    <row r="52" spans="1:6" x14ac:dyDescent="0.3">
      <c r="A52" s="34">
        <v>50</v>
      </c>
      <c r="B52" s="34" t="str">
        <f>DEC2HEX(A52,2)&amp;"h"</f>
        <v>32h</v>
      </c>
      <c r="C52" s="34" t="str">
        <f>DEC2HEX(INDEX(RAM!A:A,A52+1),2)</f>
        <v>00</v>
      </c>
      <c r="D52" s="34" t="str">
        <f>DEC2BIN(INDEX(RAM!A:A,A52+1),8)</f>
        <v>00000000</v>
      </c>
      <c r="E52" s="34">
        <f>INDEX(RAM!A:A,A52+1)</f>
        <v>0</v>
      </c>
      <c r="F52" s="34" t="str">
        <f>IF(A52&lt;128,"Codigo","Datos")</f>
        <v>Codigo</v>
      </c>
    </row>
    <row r="53" spans="1:6" x14ac:dyDescent="0.3">
      <c r="A53" s="34">
        <v>51</v>
      </c>
      <c r="B53" s="34" t="str">
        <f>DEC2HEX(A53,2)&amp;"h"</f>
        <v>33h</v>
      </c>
      <c r="C53" s="34" t="str">
        <f>DEC2HEX(INDEX(RAM!A:A,A53+1),2)</f>
        <v>00</v>
      </c>
      <c r="D53" s="34" t="str">
        <f>DEC2BIN(INDEX(RAM!A:A,A53+1),8)</f>
        <v>00000000</v>
      </c>
      <c r="E53" s="34">
        <f>INDEX(RAM!A:A,A53+1)</f>
        <v>0</v>
      </c>
      <c r="F53" s="34" t="str">
        <f>IF(A53&lt;128,"Codigo","Datos")</f>
        <v>Codigo</v>
      </c>
    </row>
    <row r="54" spans="1:6" x14ac:dyDescent="0.3">
      <c r="A54" s="34">
        <v>52</v>
      </c>
      <c r="B54" s="34" t="str">
        <f>DEC2HEX(A54,2)&amp;"h"</f>
        <v>34h</v>
      </c>
      <c r="C54" s="34" t="str">
        <f>DEC2HEX(INDEX(RAM!A:A,A54+1),2)</f>
        <v>00</v>
      </c>
      <c r="D54" s="34" t="str">
        <f>DEC2BIN(INDEX(RAM!A:A,A54+1),8)</f>
        <v>00000000</v>
      </c>
      <c r="E54" s="34">
        <f>INDEX(RAM!A:A,A54+1)</f>
        <v>0</v>
      </c>
      <c r="F54" s="34" t="str">
        <f>IF(A54&lt;128,"Codigo","Datos")</f>
        <v>Codigo</v>
      </c>
    </row>
    <row r="55" spans="1:6" x14ac:dyDescent="0.3">
      <c r="A55" s="34">
        <v>53</v>
      </c>
      <c r="B55" s="34" t="str">
        <f>DEC2HEX(A55,2)&amp;"h"</f>
        <v>35h</v>
      </c>
      <c r="C55" s="34" t="str">
        <f>DEC2HEX(INDEX(RAM!A:A,A55+1),2)</f>
        <v>00</v>
      </c>
      <c r="D55" s="34" t="str">
        <f>DEC2BIN(INDEX(RAM!A:A,A55+1),8)</f>
        <v>00000000</v>
      </c>
      <c r="E55" s="34">
        <f>INDEX(RAM!A:A,A55+1)</f>
        <v>0</v>
      </c>
      <c r="F55" s="34" t="str">
        <f>IF(A55&lt;128,"Codigo","Datos")</f>
        <v>Codigo</v>
      </c>
    </row>
    <row r="56" spans="1:6" x14ac:dyDescent="0.3">
      <c r="A56" s="34">
        <v>54</v>
      </c>
      <c r="B56" s="34" t="str">
        <f>DEC2HEX(A56,2)&amp;"h"</f>
        <v>36h</v>
      </c>
      <c r="C56" s="34" t="str">
        <f>DEC2HEX(INDEX(RAM!A:A,A56+1),2)</f>
        <v>00</v>
      </c>
      <c r="D56" s="34" t="str">
        <f>DEC2BIN(INDEX(RAM!A:A,A56+1),8)</f>
        <v>00000000</v>
      </c>
      <c r="E56" s="34">
        <f>INDEX(RAM!A:A,A56+1)</f>
        <v>0</v>
      </c>
      <c r="F56" s="34" t="str">
        <f>IF(A56&lt;128,"Codigo","Datos")</f>
        <v>Codigo</v>
      </c>
    </row>
    <row r="57" spans="1:6" x14ac:dyDescent="0.3">
      <c r="A57" s="34">
        <v>55</v>
      </c>
      <c r="B57" s="34" t="str">
        <f>DEC2HEX(A57,2)&amp;"h"</f>
        <v>37h</v>
      </c>
      <c r="C57" s="34" t="str">
        <f>DEC2HEX(INDEX(RAM!A:A,A57+1),2)</f>
        <v>00</v>
      </c>
      <c r="D57" s="34" t="str">
        <f>DEC2BIN(INDEX(RAM!A:A,A57+1),8)</f>
        <v>00000000</v>
      </c>
      <c r="E57" s="34">
        <f>INDEX(RAM!A:A,A57+1)</f>
        <v>0</v>
      </c>
      <c r="F57" s="34" t="str">
        <f>IF(A57&lt;128,"Codigo","Datos")</f>
        <v>Codigo</v>
      </c>
    </row>
    <row r="58" spans="1:6" x14ac:dyDescent="0.3">
      <c r="A58" s="34">
        <v>56</v>
      </c>
      <c r="B58" s="34" t="str">
        <f>DEC2HEX(A58,2)&amp;"h"</f>
        <v>38h</v>
      </c>
      <c r="C58" s="34" t="str">
        <f>DEC2HEX(INDEX(RAM!A:A,A58+1),2)</f>
        <v>00</v>
      </c>
      <c r="D58" s="34" t="str">
        <f>DEC2BIN(INDEX(RAM!A:A,A58+1),8)</f>
        <v>00000000</v>
      </c>
      <c r="E58" s="34">
        <f>INDEX(RAM!A:A,A58+1)</f>
        <v>0</v>
      </c>
      <c r="F58" s="34" t="str">
        <f>IF(A58&lt;128,"Codigo","Datos")</f>
        <v>Codigo</v>
      </c>
    </row>
    <row r="59" spans="1:6" x14ac:dyDescent="0.3">
      <c r="A59" s="34">
        <v>57</v>
      </c>
      <c r="B59" s="34" t="str">
        <f>DEC2HEX(A59,2)&amp;"h"</f>
        <v>39h</v>
      </c>
      <c r="C59" s="34" t="str">
        <f>DEC2HEX(INDEX(RAM!A:A,A59+1),2)</f>
        <v>00</v>
      </c>
      <c r="D59" s="34" t="str">
        <f>DEC2BIN(INDEX(RAM!A:A,A59+1),8)</f>
        <v>00000000</v>
      </c>
      <c r="E59" s="34">
        <f>INDEX(RAM!A:A,A59+1)</f>
        <v>0</v>
      </c>
      <c r="F59" s="34" t="str">
        <f>IF(A59&lt;128,"Codigo","Datos")</f>
        <v>Codigo</v>
      </c>
    </row>
    <row r="60" spans="1:6" x14ac:dyDescent="0.3">
      <c r="A60" s="34">
        <v>58</v>
      </c>
      <c r="B60" s="34" t="str">
        <f>DEC2HEX(A60,2)&amp;"h"</f>
        <v>3Ah</v>
      </c>
      <c r="C60" s="34" t="str">
        <f>DEC2HEX(INDEX(RAM!A:A,A60+1),2)</f>
        <v>00</v>
      </c>
      <c r="D60" s="34" t="str">
        <f>DEC2BIN(INDEX(RAM!A:A,A60+1),8)</f>
        <v>00000000</v>
      </c>
      <c r="E60" s="34">
        <f>INDEX(RAM!A:A,A60+1)</f>
        <v>0</v>
      </c>
      <c r="F60" s="34" t="str">
        <f>IF(A60&lt;128,"Codigo","Datos")</f>
        <v>Codigo</v>
      </c>
    </row>
    <row r="61" spans="1:6" x14ac:dyDescent="0.3">
      <c r="A61" s="34">
        <v>59</v>
      </c>
      <c r="B61" s="34" t="str">
        <f>DEC2HEX(A61,2)&amp;"h"</f>
        <v>3Bh</v>
      </c>
      <c r="C61" s="34" t="str">
        <f>DEC2HEX(INDEX(RAM!A:A,A61+1),2)</f>
        <v>00</v>
      </c>
      <c r="D61" s="34" t="str">
        <f>DEC2BIN(INDEX(RAM!A:A,A61+1),8)</f>
        <v>00000000</v>
      </c>
      <c r="E61" s="34">
        <f>INDEX(RAM!A:A,A61+1)</f>
        <v>0</v>
      </c>
      <c r="F61" s="34" t="str">
        <f>IF(A61&lt;128,"Codigo","Datos")</f>
        <v>Codigo</v>
      </c>
    </row>
    <row r="62" spans="1:6" x14ac:dyDescent="0.3">
      <c r="A62" s="34">
        <v>60</v>
      </c>
      <c r="B62" s="34" t="str">
        <f>DEC2HEX(A62,2)&amp;"h"</f>
        <v>3Ch</v>
      </c>
      <c r="C62" s="34" t="str">
        <f>DEC2HEX(INDEX(RAM!A:A,A62+1),2)</f>
        <v>00</v>
      </c>
      <c r="D62" s="34" t="str">
        <f>DEC2BIN(INDEX(RAM!A:A,A62+1),8)</f>
        <v>00000000</v>
      </c>
      <c r="E62" s="34">
        <f>INDEX(RAM!A:A,A62+1)</f>
        <v>0</v>
      </c>
      <c r="F62" s="34" t="str">
        <f>IF(A62&lt;128,"Codigo","Datos")</f>
        <v>Codigo</v>
      </c>
    </row>
    <row r="63" spans="1:6" x14ac:dyDescent="0.3">
      <c r="A63" s="34">
        <v>61</v>
      </c>
      <c r="B63" s="34" t="str">
        <f>DEC2HEX(A63,2)&amp;"h"</f>
        <v>3Dh</v>
      </c>
      <c r="C63" s="34" t="str">
        <f>DEC2HEX(INDEX(RAM!A:A,A63+1),2)</f>
        <v>00</v>
      </c>
      <c r="D63" s="34" t="str">
        <f>DEC2BIN(INDEX(RAM!A:A,A63+1),8)</f>
        <v>00000000</v>
      </c>
      <c r="E63" s="34">
        <f>INDEX(RAM!A:A,A63+1)</f>
        <v>0</v>
      </c>
      <c r="F63" s="34" t="str">
        <f>IF(A63&lt;128,"Codigo","Datos")</f>
        <v>Codigo</v>
      </c>
    </row>
    <row r="64" spans="1:6" x14ac:dyDescent="0.3">
      <c r="A64" s="34">
        <v>62</v>
      </c>
      <c r="B64" s="34" t="str">
        <f>DEC2HEX(A64,2)&amp;"h"</f>
        <v>3Eh</v>
      </c>
      <c r="C64" s="34" t="str">
        <f>DEC2HEX(INDEX(RAM!A:A,A64+1),2)</f>
        <v>00</v>
      </c>
      <c r="D64" s="34" t="str">
        <f>DEC2BIN(INDEX(RAM!A:A,A64+1),8)</f>
        <v>00000000</v>
      </c>
      <c r="E64" s="34">
        <f>INDEX(RAM!A:A,A64+1)</f>
        <v>0</v>
      </c>
      <c r="F64" s="34" t="str">
        <f>IF(A64&lt;128,"Codigo","Datos")</f>
        <v>Codigo</v>
      </c>
    </row>
    <row r="65" spans="1:6" x14ac:dyDescent="0.3">
      <c r="A65" s="34">
        <v>63</v>
      </c>
      <c r="B65" s="34" t="str">
        <f>DEC2HEX(A65,2)&amp;"h"</f>
        <v>3Fh</v>
      </c>
      <c r="C65" s="34" t="str">
        <f>DEC2HEX(INDEX(RAM!A:A,A65+1),2)</f>
        <v>00</v>
      </c>
      <c r="D65" s="34" t="str">
        <f>DEC2BIN(INDEX(RAM!A:A,A65+1),8)</f>
        <v>00000000</v>
      </c>
      <c r="E65" s="34">
        <f>INDEX(RAM!A:A,A65+1)</f>
        <v>0</v>
      </c>
      <c r="F65" s="34" t="str">
        <f>IF(A65&lt;128,"Codigo","Datos")</f>
        <v>Codigo</v>
      </c>
    </row>
    <row r="66" spans="1:6" x14ac:dyDescent="0.3">
      <c r="A66" s="34">
        <v>64</v>
      </c>
      <c r="B66" s="34" t="str">
        <f>DEC2HEX(A66,2)&amp;"h"</f>
        <v>40h</v>
      </c>
      <c r="C66" s="34" t="str">
        <f>DEC2HEX(INDEX(RAM!A:A,A66+1),2)</f>
        <v>00</v>
      </c>
      <c r="D66" s="34" t="str">
        <f>DEC2BIN(INDEX(RAM!A:A,A66+1),8)</f>
        <v>00000000</v>
      </c>
      <c r="E66" s="34">
        <f>INDEX(RAM!A:A,A66+1)</f>
        <v>0</v>
      </c>
      <c r="F66" s="34" t="str">
        <f>IF(A66&lt;128,"Codigo","Datos")</f>
        <v>Codigo</v>
      </c>
    </row>
    <row r="67" spans="1:6" x14ac:dyDescent="0.3">
      <c r="A67" s="34">
        <v>65</v>
      </c>
      <c r="B67" s="34" t="str">
        <f>DEC2HEX(A67,2)&amp;"h"</f>
        <v>41h</v>
      </c>
      <c r="C67" s="34" t="str">
        <f>DEC2HEX(INDEX(RAM!A:A,A67+1),2)</f>
        <v>00</v>
      </c>
      <c r="D67" s="34" t="str">
        <f>DEC2BIN(INDEX(RAM!A:A,A67+1),8)</f>
        <v>00000000</v>
      </c>
      <c r="E67" s="34">
        <f>INDEX(RAM!A:A,A67+1)</f>
        <v>0</v>
      </c>
      <c r="F67" s="34" t="str">
        <f>IF(A67&lt;128,"Codigo","Datos")</f>
        <v>Codigo</v>
      </c>
    </row>
    <row r="68" spans="1:6" x14ac:dyDescent="0.3">
      <c r="A68" s="34">
        <v>66</v>
      </c>
      <c r="B68" s="34" t="str">
        <f>DEC2HEX(A68,2)&amp;"h"</f>
        <v>42h</v>
      </c>
      <c r="C68" s="34" t="str">
        <f>DEC2HEX(INDEX(RAM!A:A,A68+1),2)</f>
        <v>00</v>
      </c>
      <c r="D68" s="34" t="str">
        <f>DEC2BIN(INDEX(RAM!A:A,A68+1),8)</f>
        <v>00000000</v>
      </c>
      <c r="E68" s="34">
        <f>INDEX(RAM!A:A,A68+1)</f>
        <v>0</v>
      </c>
      <c r="F68" s="34" t="str">
        <f>IF(A68&lt;128,"Codigo","Datos")</f>
        <v>Codigo</v>
      </c>
    </row>
    <row r="69" spans="1:6" x14ac:dyDescent="0.3">
      <c r="A69" s="34">
        <v>67</v>
      </c>
      <c r="B69" s="34" t="str">
        <f>DEC2HEX(A69,2)&amp;"h"</f>
        <v>43h</v>
      </c>
      <c r="C69" s="34" t="str">
        <f>DEC2HEX(INDEX(RAM!A:A,A69+1),2)</f>
        <v>00</v>
      </c>
      <c r="D69" s="34" t="str">
        <f>DEC2BIN(INDEX(RAM!A:A,A69+1),8)</f>
        <v>00000000</v>
      </c>
      <c r="E69" s="34">
        <f>INDEX(RAM!A:A,A69+1)</f>
        <v>0</v>
      </c>
      <c r="F69" s="34" t="str">
        <f>IF(A69&lt;128,"Codigo","Datos")</f>
        <v>Codigo</v>
      </c>
    </row>
    <row r="70" spans="1:6" x14ac:dyDescent="0.3">
      <c r="A70" s="34">
        <v>68</v>
      </c>
      <c r="B70" s="34" t="str">
        <f>DEC2HEX(A70,2)&amp;"h"</f>
        <v>44h</v>
      </c>
      <c r="C70" s="34" t="str">
        <f>DEC2HEX(INDEX(RAM!A:A,A70+1),2)</f>
        <v>00</v>
      </c>
      <c r="D70" s="34" t="str">
        <f>DEC2BIN(INDEX(RAM!A:A,A70+1),8)</f>
        <v>00000000</v>
      </c>
      <c r="E70" s="34">
        <f>INDEX(RAM!A:A,A70+1)</f>
        <v>0</v>
      </c>
      <c r="F70" s="34" t="str">
        <f>IF(A70&lt;128,"Codigo","Datos")</f>
        <v>Codigo</v>
      </c>
    </row>
    <row r="71" spans="1:6" x14ac:dyDescent="0.3">
      <c r="A71" s="34">
        <v>69</v>
      </c>
      <c r="B71" s="34" t="str">
        <f>DEC2HEX(A71,2)&amp;"h"</f>
        <v>45h</v>
      </c>
      <c r="C71" s="34" t="str">
        <f>DEC2HEX(INDEX(RAM!A:A,A71+1),2)</f>
        <v>00</v>
      </c>
      <c r="D71" s="34" t="str">
        <f>DEC2BIN(INDEX(RAM!A:A,A71+1),8)</f>
        <v>00000000</v>
      </c>
      <c r="E71" s="34">
        <f>INDEX(RAM!A:A,A71+1)</f>
        <v>0</v>
      </c>
      <c r="F71" s="34" t="str">
        <f>IF(A71&lt;128,"Codigo","Datos")</f>
        <v>Codigo</v>
      </c>
    </row>
    <row r="72" spans="1:6" x14ac:dyDescent="0.3">
      <c r="A72" s="34">
        <v>70</v>
      </c>
      <c r="B72" s="34" t="str">
        <f>DEC2HEX(A72,2)&amp;"h"</f>
        <v>46h</v>
      </c>
      <c r="C72" s="34" t="str">
        <f>DEC2HEX(INDEX(RAM!A:A,A72+1),2)</f>
        <v>00</v>
      </c>
      <c r="D72" s="34" t="str">
        <f>DEC2BIN(INDEX(RAM!A:A,A72+1),8)</f>
        <v>00000000</v>
      </c>
      <c r="E72" s="34">
        <f>INDEX(RAM!A:A,A72+1)</f>
        <v>0</v>
      </c>
      <c r="F72" s="34" t="str">
        <f>IF(A72&lt;128,"Codigo","Datos")</f>
        <v>Codigo</v>
      </c>
    </row>
    <row r="73" spans="1:6" x14ac:dyDescent="0.3">
      <c r="A73" s="34">
        <v>71</v>
      </c>
      <c r="B73" s="34" t="str">
        <f>DEC2HEX(A73,2)&amp;"h"</f>
        <v>47h</v>
      </c>
      <c r="C73" s="34" t="str">
        <f>DEC2HEX(INDEX(RAM!A:A,A73+1),2)</f>
        <v>00</v>
      </c>
      <c r="D73" s="34" t="str">
        <f>DEC2BIN(INDEX(RAM!A:A,A73+1),8)</f>
        <v>00000000</v>
      </c>
      <c r="E73" s="34">
        <f>INDEX(RAM!A:A,A73+1)</f>
        <v>0</v>
      </c>
      <c r="F73" s="34" t="str">
        <f>IF(A73&lt;128,"Codigo","Datos")</f>
        <v>Codigo</v>
      </c>
    </row>
    <row r="74" spans="1:6" x14ac:dyDescent="0.3">
      <c r="A74" s="34">
        <v>72</v>
      </c>
      <c r="B74" s="34" t="str">
        <f>DEC2HEX(A74,2)&amp;"h"</f>
        <v>48h</v>
      </c>
      <c r="C74" s="34" t="str">
        <f>DEC2HEX(INDEX(RAM!A:A,A74+1),2)</f>
        <v>00</v>
      </c>
      <c r="D74" s="34" t="str">
        <f>DEC2BIN(INDEX(RAM!A:A,A74+1),8)</f>
        <v>00000000</v>
      </c>
      <c r="E74" s="34">
        <f>INDEX(RAM!A:A,A74+1)</f>
        <v>0</v>
      </c>
      <c r="F74" s="34" t="str">
        <f>IF(A74&lt;128,"Codigo","Datos")</f>
        <v>Codigo</v>
      </c>
    </row>
    <row r="75" spans="1:6" x14ac:dyDescent="0.3">
      <c r="A75" s="34">
        <v>73</v>
      </c>
      <c r="B75" s="34" t="str">
        <f>DEC2HEX(A75,2)&amp;"h"</f>
        <v>49h</v>
      </c>
      <c r="C75" s="34" t="str">
        <f>DEC2HEX(INDEX(RAM!A:A,A75+1),2)</f>
        <v>00</v>
      </c>
      <c r="D75" s="34" t="str">
        <f>DEC2BIN(INDEX(RAM!A:A,A75+1),8)</f>
        <v>00000000</v>
      </c>
      <c r="E75" s="34">
        <f>INDEX(RAM!A:A,A75+1)</f>
        <v>0</v>
      </c>
      <c r="F75" s="34" t="str">
        <f>IF(A75&lt;128,"Codigo","Datos")</f>
        <v>Codigo</v>
      </c>
    </row>
    <row r="76" spans="1:6" x14ac:dyDescent="0.3">
      <c r="A76" s="34">
        <v>74</v>
      </c>
      <c r="B76" s="34" t="str">
        <f>DEC2HEX(A76,2)&amp;"h"</f>
        <v>4Ah</v>
      </c>
      <c r="C76" s="34" t="str">
        <f>DEC2HEX(INDEX(RAM!A:A,A76+1),2)</f>
        <v>00</v>
      </c>
      <c r="D76" s="34" t="str">
        <f>DEC2BIN(INDEX(RAM!A:A,A76+1),8)</f>
        <v>00000000</v>
      </c>
      <c r="E76" s="34">
        <f>INDEX(RAM!A:A,A76+1)</f>
        <v>0</v>
      </c>
      <c r="F76" s="34" t="str">
        <f>IF(A76&lt;128,"Codigo","Datos")</f>
        <v>Codigo</v>
      </c>
    </row>
    <row r="77" spans="1:6" x14ac:dyDescent="0.3">
      <c r="A77" s="34">
        <v>75</v>
      </c>
      <c r="B77" s="34" t="str">
        <f>DEC2HEX(A77,2)&amp;"h"</f>
        <v>4Bh</v>
      </c>
      <c r="C77" s="34" t="str">
        <f>DEC2HEX(INDEX(RAM!A:A,A77+1),2)</f>
        <v>00</v>
      </c>
      <c r="D77" s="34" t="str">
        <f>DEC2BIN(INDEX(RAM!A:A,A77+1),8)</f>
        <v>00000000</v>
      </c>
      <c r="E77" s="34">
        <f>INDEX(RAM!A:A,A77+1)</f>
        <v>0</v>
      </c>
      <c r="F77" s="34" t="str">
        <f>IF(A77&lt;128,"Codigo","Datos")</f>
        <v>Codigo</v>
      </c>
    </row>
    <row r="78" spans="1:6" x14ac:dyDescent="0.3">
      <c r="A78" s="34">
        <v>76</v>
      </c>
      <c r="B78" s="34" t="str">
        <f>DEC2HEX(A78,2)&amp;"h"</f>
        <v>4Ch</v>
      </c>
      <c r="C78" s="34" t="str">
        <f>DEC2HEX(INDEX(RAM!A:A,A78+1),2)</f>
        <v>00</v>
      </c>
      <c r="D78" s="34" t="str">
        <f>DEC2BIN(INDEX(RAM!A:A,A78+1),8)</f>
        <v>00000000</v>
      </c>
      <c r="E78" s="34">
        <f>INDEX(RAM!A:A,A78+1)</f>
        <v>0</v>
      </c>
      <c r="F78" s="34" t="str">
        <f>IF(A78&lt;128,"Codigo","Datos")</f>
        <v>Codigo</v>
      </c>
    </row>
    <row r="79" spans="1:6" x14ac:dyDescent="0.3">
      <c r="A79" s="34">
        <v>77</v>
      </c>
      <c r="B79" s="34" t="str">
        <f>DEC2HEX(A79,2)&amp;"h"</f>
        <v>4Dh</v>
      </c>
      <c r="C79" s="34" t="str">
        <f>DEC2HEX(INDEX(RAM!A:A,A79+1),2)</f>
        <v>00</v>
      </c>
      <c r="D79" s="34" t="str">
        <f>DEC2BIN(INDEX(RAM!A:A,A79+1),8)</f>
        <v>00000000</v>
      </c>
      <c r="E79" s="34">
        <f>INDEX(RAM!A:A,A79+1)</f>
        <v>0</v>
      </c>
      <c r="F79" s="34" t="str">
        <f>IF(A79&lt;128,"Codigo","Datos")</f>
        <v>Codigo</v>
      </c>
    </row>
    <row r="80" spans="1:6" x14ac:dyDescent="0.3">
      <c r="A80" s="34">
        <v>78</v>
      </c>
      <c r="B80" s="34" t="str">
        <f>DEC2HEX(A80,2)&amp;"h"</f>
        <v>4Eh</v>
      </c>
      <c r="C80" s="34" t="str">
        <f>DEC2HEX(INDEX(RAM!A:A,A80+1),2)</f>
        <v>00</v>
      </c>
      <c r="D80" s="34" t="str">
        <f>DEC2BIN(INDEX(RAM!A:A,A80+1),8)</f>
        <v>00000000</v>
      </c>
      <c r="E80" s="34">
        <f>INDEX(RAM!A:A,A80+1)</f>
        <v>0</v>
      </c>
      <c r="F80" s="34" t="str">
        <f>IF(A80&lt;128,"Codigo","Datos")</f>
        <v>Codigo</v>
      </c>
    </row>
    <row r="81" spans="1:6" x14ac:dyDescent="0.3">
      <c r="A81" s="34">
        <v>79</v>
      </c>
      <c r="B81" s="34" t="str">
        <f>DEC2HEX(A81,2)&amp;"h"</f>
        <v>4Fh</v>
      </c>
      <c r="C81" s="34" t="str">
        <f>DEC2HEX(INDEX(RAM!A:A,A81+1),2)</f>
        <v>00</v>
      </c>
      <c r="D81" s="34" t="str">
        <f>DEC2BIN(INDEX(RAM!A:A,A81+1),8)</f>
        <v>00000000</v>
      </c>
      <c r="E81" s="34">
        <f>INDEX(RAM!A:A,A81+1)</f>
        <v>0</v>
      </c>
      <c r="F81" s="34" t="str">
        <f>IF(A81&lt;128,"Codigo","Datos")</f>
        <v>Codigo</v>
      </c>
    </row>
    <row r="82" spans="1:6" x14ac:dyDescent="0.3">
      <c r="A82" s="34">
        <v>80</v>
      </c>
      <c r="B82" s="34" t="str">
        <f>DEC2HEX(A82,2)&amp;"h"</f>
        <v>50h</v>
      </c>
      <c r="C82" s="34" t="str">
        <f>DEC2HEX(INDEX(RAM!A:A,A82+1),2)</f>
        <v>00</v>
      </c>
      <c r="D82" s="34" t="str">
        <f>DEC2BIN(INDEX(RAM!A:A,A82+1),8)</f>
        <v>00000000</v>
      </c>
      <c r="E82" s="34">
        <f>INDEX(RAM!A:A,A82+1)</f>
        <v>0</v>
      </c>
      <c r="F82" s="34" t="str">
        <f>IF(A82&lt;128,"Codigo","Datos")</f>
        <v>Codigo</v>
      </c>
    </row>
    <row r="83" spans="1:6" x14ac:dyDescent="0.3">
      <c r="A83" s="34">
        <v>81</v>
      </c>
      <c r="B83" s="34" t="str">
        <f>DEC2HEX(A83,2)&amp;"h"</f>
        <v>51h</v>
      </c>
      <c r="C83" s="34" t="str">
        <f>DEC2HEX(INDEX(RAM!A:A,A83+1),2)</f>
        <v>00</v>
      </c>
      <c r="D83" s="34" t="str">
        <f>DEC2BIN(INDEX(RAM!A:A,A83+1),8)</f>
        <v>00000000</v>
      </c>
      <c r="E83" s="34">
        <f>INDEX(RAM!A:A,A83+1)</f>
        <v>0</v>
      </c>
      <c r="F83" s="34" t="str">
        <f>IF(A83&lt;128,"Codigo","Datos")</f>
        <v>Codigo</v>
      </c>
    </row>
    <row r="84" spans="1:6" x14ac:dyDescent="0.3">
      <c r="A84" s="34">
        <v>82</v>
      </c>
      <c r="B84" s="34" t="str">
        <f>DEC2HEX(A84,2)&amp;"h"</f>
        <v>52h</v>
      </c>
      <c r="C84" s="34" t="str">
        <f>DEC2HEX(INDEX(RAM!A:A,A84+1),2)</f>
        <v>00</v>
      </c>
      <c r="D84" s="34" t="str">
        <f>DEC2BIN(INDEX(RAM!A:A,A84+1),8)</f>
        <v>00000000</v>
      </c>
      <c r="E84" s="34">
        <f>INDEX(RAM!A:A,A84+1)</f>
        <v>0</v>
      </c>
      <c r="F84" s="34" t="str">
        <f>IF(A84&lt;128,"Codigo","Datos")</f>
        <v>Codigo</v>
      </c>
    </row>
    <row r="85" spans="1:6" x14ac:dyDescent="0.3">
      <c r="A85" s="34">
        <v>83</v>
      </c>
      <c r="B85" s="34" t="str">
        <f>DEC2HEX(A85,2)&amp;"h"</f>
        <v>53h</v>
      </c>
      <c r="C85" s="34" t="str">
        <f>DEC2HEX(INDEX(RAM!A:A,A85+1),2)</f>
        <v>00</v>
      </c>
      <c r="D85" s="34" t="str">
        <f>DEC2BIN(INDEX(RAM!A:A,A85+1),8)</f>
        <v>00000000</v>
      </c>
      <c r="E85" s="34">
        <f>INDEX(RAM!A:A,A85+1)</f>
        <v>0</v>
      </c>
      <c r="F85" s="34" t="str">
        <f>IF(A85&lt;128,"Codigo","Datos")</f>
        <v>Codigo</v>
      </c>
    </row>
    <row r="86" spans="1:6" x14ac:dyDescent="0.3">
      <c r="A86" s="34">
        <v>84</v>
      </c>
      <c r="B86" s="34" t="str">
        <f>DEC2HEX(A86,2)&amp;"h"</f>
        <v>54h</v>
      </c>
      <c r="C86" s="34" t="str">
        <f>DEC2HEX(INDEX(RAM!A:A,A86+1),2)</f>
        <v>00</v>
      </c>
      <c r="D86" s="34" t="str">
        <f>DEC2BIN(INDEX(RAM!A:A,A86+1),8)</f>
        <v>00000000</v>
      </c>
      <c r="E86" s="34">
        <f>INDEX(RAM!A:A,A86+1)</f>
        <v>0</v>
      </c>
      <c r="F86" s="34" t="str">
        <f>IF(A86&lt;128,"Codigo","Datos")</f>
        <v>Codigo</v>
      </c>
    </row>
    <row r="87" spans="1:6" x14ac:dyDescent="0.3">
      <c r="A87" s="34">
        <v>85</v>
      </c>
      <c r="B87" s="34" t="str">
        <f>DEC2HEX(A87,2)&amp;"h"</f>
        <v>55h</v>
      </c>
      <c r="C87" s="34" t="str">
        <f>DEC2HEX(INDEX(RAM!A:A,A87+1),2)</f>
        <v>00</v>
      </c>
      <c r="D87" s="34" t="str">
        <f>DEC2BIN(INDEX(RAM!A:A,A87+1),8)</f>
        <v>00000000</v>
      </c>
      <c r="E87" s="34">
        <f>INDEX(RAM!A:A,A87+1)</f>
        <v>0</v>
      </c>
      <c r="F87" s="34" t="str">
        <f>IF(A87&lt;128,"Codigo","Datos")</f>
        <v>Codigo</v>
      </c>
    </row>
    <row r="88" spans="1:6" x14ac:dyDescent="0.3">
      <c r="A88" s="34">
        <v>86</v>
      </c>
      <c r="B88" s="34" t="str">
        <f>DEC2HEX(A88,2)&amp;"h"</f>
        <v>56h</v>
      </c>
      <c r="C88" s="34" t="str">
        <f>DEC2HEX(INDEX(RAM!A:A,A88+1),2)</f>
        <v>00</v>
      </c>
      <c r="D88" s="34" t="str">
        <f>DEC2BIN(INDEX(RAM!A:A,A88+1),8)</f>
        <v>00000000</v>
      </c>
      <c r="E88" s="34">
        <f>INDEX(RAM!A:A,A88+1)</f>
        <v>0</v>
      </c>
      <c r="F88" s="34" t="str">
        <f>IF(A88&lt;128,"Codigo","Datos")</f>
        <v>Codigo</v>
      </c>
    </row>
    <row r="89" spans="1:6" x14ac:dyDescent="0.3">
      <c r="A89" s="34">
        <v>87</v>
      </c>
      <c r="B89" s="34" t="str">
        <f>DEC2HEX(A89,2)&amp;"h"</f>
        <v>57h</v>
      </c>
      <c r="C89" s="34" t="str">
        <f>DEC2HEX(INDEX(RAM!A:A,A89+1),2)</f>
        <v>00</v>
      </c>
      <c r="D89" s="34" t="str">
        <f>DEC2BIN(INDEX(RAM!A:A,A89+1),8)</f>
        <v>00000000</v>
      </c>
      <c r="E89" s="34">
        <f>INDEX(RAM!A:A,A89+1)</f>
        <v>0</v>
      </c>
      <c r="F89" s="34" t="str">
        <f>IF(A89&lt;128,"Codigo","Datos")</f>
        <v>Codigo</v>
      </c>
    </row>
    <row r="90" spans="1:6" x14ac:dyDescent="0.3">
      <c r="A90" s="34">
        <v>88</v>
      </c>
      <c r="B90" s="34" t="str">
        <f>DEC2HEX(A90,2)&amp;"h"</f>
        <v>58h</v>
      </c>
      <c r="C90" s="34" t="str">
        <f>DEC2HEX(INDEX(RAM!A:A,A90+1),2)</f>
        <v>00</v>
      </c>
      <c r="D90" s="34" t="str">
        <f>DEC2BIN(INDEX(RAM!A:A,A90+1),8)</f>
        <v>00000000</v>
      </c>
      <c r="E90" s="34">
        <f>INDEX(RAM!A:A,A90+1)</f>
        <v>0</v>
      </c>
      <c r="F90" s="34" t="str">
        <f>IF(A90&lt;128,"Codigo","Datos")</f>
        <v>Codigo</v>
      </c>
    </row>
    <row r="91" spans="1:6" x14ac:dyDescent="0.3">
      <c r="A91" s="34">
        <v>89</v>
      </c>
      <c r="B91" s="34" t="str">
        <f>DEC2HEX(A91,2)&amp;"h"</f>
        <v>59h</v>
      </c>
      <c r="C91" s="34" t="str">
        <f>DEC2HEX(INDEX(RAM!A:A,A91+1),2)</f>
        <v>00</v>
      </c>
      <c r="D91" s="34" t="str">
        <f>DEC2BIN(INDEX(RAM!A:A,A91+1),8)</f>
        <v>00000000</v>
      </c>
      <c r="E91" s="34">
        <f>INDEX(RAM!A:A,A91+1)</f>
        <v>0</v>
      </c>
      <c r="F91" s="34" t="str">
        <f>IF(A91&lt;128,"Codigo","Datos")</f>
        <v>Codigo</v>
      </c>
    </row>
    <row r="92" spans="1:6" x14ac:dyDescent="0.3">
      <c r="A92" s="34">
        <v>90</v>
      </c>
      <c r="B92" s="34" t="str">
        <f>DEC2HEX(A92,2)&amp;"h"</f>
        <v>5Ah</v>
      </c>
      <c r="C92" s="34" t="str">
        <f>DEC2HEX(INDEX(RAM!A:A,A92+1),2)</f>
        <v>00</v>
      </c>
      <c r="D92" s="34" t="str">
        <f>DEC2BIN(INDEX(RAM!A:A,A92+1),8)</f>
        <v>00000000</v>
      </c>
      <c r="E92" s="34">
        <f>INDEX(RAM!A:A,A92+1)</f>
        <v>0</v>
      </c>
      <c r="F92" s="34" t="str">
        <f>IF(A92&lt;128,"Codigo","Datos")</f>
        <v>Codigo</v>
      </c>
    </row>
    <row r="93" spans="1:6" x14ac:dyDescent="0.3">
      <c r="A93" s="34">
        <v>91</v>
      </c>
      <c r="B93" s="34" t="str">
        <f>DEC2HEX(A93,2)&amp;"h"</f>
        <v>5Bh</v>
      </c>
      <c r="C93" s="34" t="str">
        <f>DEC2HEX(INDEX(RAM!A:A,A93+1),2)</f>
        <v>00</v>
      </c>
      <c r="D93" s="34" t="str">
        <f>DEC2BIN(INDEX(RAM!A:A,A93+1),8)</f>
        <v>00000000</v>
      </c>
      <c r="E93" s="34">
        <f>INDEX(RAM!A:A,A93+1)</f>
        <v>0</v>
      </c>
      <c r="F93" s="34" t="str">
        <f>IF(A93&lt;128,"Codigo","Datos")</f>
        <v>Codigo</v>
      </c>
    </row>
    <row r="94" spans="1:6" x14ac:dyDescent="0.3">
      <c r="A94" s="34">
        <v>92</v>
      </c>
      <c r="B94" s="34" t="str">
        <f>DEC2HEX(A94,2)&amp;"h"</f>
        <v>5Ch</v>
      </c>
      <c r="C94" s="34" t="str">
        <f>DEC2HEX(INDEX(RAM!A:A,A94+1),2)</f>
        <v>00</v>
      </c>
      <c r="D94" s="34" t="str">
        <f>DEC2BIN(INDEX(RAM!A:A,A94+1),8)</f>
        <v>00000000</v>
      </c>
      <c r="E94" s="34">
        <f>INDEX(RAM!A:A,A94+1)</f>
        <v>0</v>
      </c>
      <c r="F94" s="34" t="str">
        <f>IF(A94&lt;128,"Codigo","Datos")</f>
        <v>Codigo</v>
      </c>
    </row>
    <row r="95" spans="1:6" x14ac:dyDescent="0.3">
      <c r="A95" s="34">
        <v>93</v>
      </c>
      <c r="B95" s="34" t="str">
        <f>DEC2HEX(A95,2)&amp;"h"</f>
        <v>5Dh</v>
      </c>
      <c r="C95" s="34" t="str">
        <f>DEC2HEX(INDEX(RAM!A:A,A95+1),2)</f>
        <v>00</v>
      </c>
      <c r="D95" s="34" t="str">
        <f>DEC2BIN(INDEX(RAM!A:A,A95+1),8)</f>
        <v>00000000</v>
      </c>
      <c r="E95" s="34">
        <f>INDEX(RAM!A:A,A95+1)</f>
        <v>0</v>
      </c>
      <c r="F95" s="34" t="str">
        <f>IF(A95&lt;128,"Codigo","Datos")</f>
        <v>Codigo</v>
      </c>
    </row>
    <row r="96" spans="1:6" x14ac:dyDescent="0.3">
      <c r="A96" s="34">
        <v>94</v>
      </c>
      <c r="B96" s="34" t="str">
        <f>DEC2HEX(A96,2)&amp;"h"</f>
        <v>5Eh</v>
      </c>
      <c r="C96" s="34" t="str">
        <f>DEC2HEX(INDEX(RAM!A:A,A96+1),2)</f>
        <v>00</v>
      </c>
      <c r="D96" s="34" t="str">
        <f>DEC2BIN(INDEX(RAM!A:A,A96+1),8)</f>
        <v>00000000</v>
      </c>
      <c r="E96" s="34">
        <f>INDEX(RAM!A:A,A96+1)</f>
        <v>0</v>
      </c>
      <c r="F96" s="34" t="str">
        <f>IF(A96&lt;128,"Codigo","Datos")</f>
        <v>Codigo</v>
      </c>
    </row>
    <row r="97" spans="1:6" x14ac:dyDescent="0.3">
      <c r="A97" s="34">
        <v>95</v>
      </c>
      <c r="B97" s="34" t="str">
        <f>DEC2HEX(A97,2)&amp;"h"</f>
        <v>5Fh</v>
      </c>
      <c r="C97" s="34" t="str">
        <f>DEC2HEX(INDEX(RAM!A:A,A97+1),2)</f>
        <v>00</v>
      </c>
      <c r="D97" s="34" t="str">
        <f>DEC2BIN(INDEX(RAM!A:A,A97+1),8)</f>
        <v>00000000</v>
      </c>
      <c r="E97" s="34">
        <f>INDEX(RAM!A:A,A97+1)</f>
        <v>0</v>
      </c>
      <c r="F97" s="34" t="str">
        <f>IF(A97&lt;128,"Codigo","Datos")</f>
        <v>Codigo</v>
      </c>
    </row>
    <row r="98" spans="1:6" x14ac:dyDescent="0.3">
      <c r="A98" s="34">
        <v>96</v>
      </c>
      <c r="B98" s="34" t="str">
        <f>DEC2HEX(A98,2)&amp;"h"</f>
        <v>60h</v>
      </c>
      <c r="C98" s="34" t="str">
        <f>DEC2HEX(INDEX(RAM!A:A,A98+1),2)</f>
        <v>00</v>
      </c>
      <c r="D98" s="34" t="str">
        <f>DEC2BIN(INDEX(RAM!A:A,A98+1),8)</f>
        <v>00000000</v>
      </c>
      <c r="E98" s="34">
        <f>INDEX(RAM!A:A,A98+1)</f>
        <v>0</v>
      </c>
      <c r="F98" s="34" t="str">
        <f>IF(A98&lt;128,"Codigo","Datos")</f>
        <v>Codigo</v>
      </c>
    </row>
    <row r="99" spans="1:6" x14ac:dyDescent="0.3">
      <c r="A99" s="34">
        <v>97</v>
      </c>
      <c r="B99" s="34" t="str">
        <f>DEC2HEX(A99,2)&amp;"h"</f>
        <v>61h</v>
      </c>
      <c r="C99" s="34" t="str">
        <f>DEC2HEX(INDEX(RAM!A:A,A99+1),2)</f>
        <v>00</v>
      </c>
      <c r="D99" s="34" t="str">
        <f>DEC2BIN(INDEX(RAM!A:A,A99+1),8)</f>
        <v>00000000</v>
      </c>
      <c r="E99" s="34">
        <f>INDEX(RAM!A:A,A99+1)</f>
        <v>0</v>
      </c>
      <c r="F99" s="34" t="str">
        <f>IF(A99&lt;128,"Codigo","Datos")</f>
        <v>Codigo</v>
      </c>
    </row>
    <row r="100" spans="1:6" x14ac:dyDescent="0.3">
      <c r="A100" s="34">
        <v>98</v>
      </c>
      <c r="B100" s="34" t="str">
        <f>DEC2HEX(A100,2)&amp;"h"</f>
        <v>62h</v>
      </c>
      <c r="C100" s="34" t="str">
        <f>DEC2HEX(INDEX(RAM!A:A,A100+1),2)</f>
        <v>00</v>
      </c>
      <c r="D100" s="34" t="str">
        <f>DEC2BIN(INDEX(RAM!A:A,A100+1),8)</f>
        <v>00000000</v>
      </c>
      <c r="E100" s="34">
        <f>INDEX(RAM!A:A,A100+1)</f>
        <v>0</v>
      </c>
      <c r="F100" s="34" t="str">
        <f>IF(A100&lt;128,"Codigo","Datos")</f>
        <v>Codigo</v>
      </c>
    </row>
    <row r="101" spans="1:6" x14ac:dyDescent="0.3">
      <c r="A101" s="34">
        <v>99</v>
      </c>
      <c r="B101" s="34" t="str">
        <f>DEC2HEX(A101,2)&amp;"h"</f>
        <v>63h</v>
      </c>
      <c r="C101" s="34" t="str">
        <f>DEC2HEX(INDEX(RAM!A:A,A101+1),2)</f>
        <v>00</v>
      </c>
      <c r="D101" s="34" t="str">
        <f>DEC2BIN(INDEX(RAM!A:A,A101+1),8)</f>
        <v>00000000</v>
      </c>
      <c r="E101" s="34">
        <f>INDEX(RAM!A:A,A101+1)</f>
        <v>0</v>
      </c>
      <c r="F101" s="34" t="str">
        <f>IF(A101&lt;128,"Codigo","Datos")</f>
        <v>Codigo</v>
      </c>
    </row>
    <row r="102" spans="1:6" x14ac:dyDescent="0.3">
      <c r="A102" s="34">
        <v>100</v>
      </c>
      <c r="B102" s="34" t="str">
        <f>DEC2HEX(A102,2)&amp;"h"</f>
        <v>64h</v>
      </c>
      <c r="C102" s="34" t="str">
        <f>DEC2HEX(INDEX(RAM!A:A,A102+1),2)</f>
        <v>00</v>
      </c>
      <c r="D102" s="34" t="str">
        <f>DEC2BIN(INDEX(RAM!A:A,A102+1),8)</f>
        <v>00000000</v>
      </c>
      <c r="E102" s="34">
        <f>INDEX(RAM!A:A,A102+1)</f>
        <v>0</v>
      </c>
      <c r="F102" s="34" t="str">
        <f>IF(A102&lt;128,"Codigo","Datos")</f>
        <v>Codigo</v>
      </c>
    </row>
    <row r="103" spans="1:6" x14ac:dyDescent="0.3">
      <c r="A103" s="34">
        <v>101</v>
      </c>
      <c r="B103" s="34" t="str">
        <f>DEC2HEX(A103,2)&amp;"h"</f>
        <v>65h</v>
      </c>
      <c r="C103" s="34" t="str">
        <f>DEC2HEX(INDEX(RAM!A:A,A103+1),2)</f>
        <v>00</v>
      </c>
      <c r="D103" s="34" t="str">
        <f>DEC2BIN(INDEX(RAM!A:A,A103+1),8)</f>
        <v>00000000</v>
      </c>
      <c r="E103" s="34">
        <f>INDEX(RAM!A:A,A103+1)</f>
        <v>0</v>
      </c>
      <c r="F103" s="34" t="str">
        <f>IF(A103&lt;128,"Codigo","Datos")</f>
        <v>Codigo</v>
      </c>
    </row>
    <row r="104" spans="1:6" x14ac:dyDescent="0.3">
      <c r="A104" s="34">
        <v>102</v>
      </c>
      <c r="B104" s="34" t="str">
        <f>DEC2HEX(A104,2)&amp;"h"</f>
        <v>66h</v>
      </c>
      <c r="C104" s="34" t="str">
        <f>DEC2HEX(INDEX(RAM!A:A,A104+1),2)</f>
        <v>00</v>
      </c>
      <c r="D104" s="34" t="str">
        <f>DEC2BIN(INDEX(RAM!A:A,A104+1),8)</f>
        <v>00000000</v>
      </c>
      <c r="E104" s="34">
        <f>INDEX(RAM!A:A,A104+1)</f>
        <v>0</v>
      </c>
      <c r="F104" s="34" t="str">
        <f>IF(A104&lt;128,"Codigo","Datos")</f>
        <v>Codigo</v>
      </c>
    </row>
    <row r="105" spans="1:6" x14ac:dyDescent="0.3">
      <c r="A105" s="34">
        <v>103</v>
      </c>
      <c r="B105" s="34" t="str">
        <f>DEC2HEX(A105,2)&amp;"h"</f>
        <v>67h</v>
      </c>
      <c r="C105" s="34" t="str">
        <f>DEC2HEX(INDEX(RAM!A:A,A105+1),2)</f>
        <v>00</v>
      </c>
      <c r="D105" s="34" t="str">
        <f>DEC2BIN(INDEX(RAM!A:A,A105+1),8)</f>
        <v>00000000</v>
      </c>
      <c r="E105" s="34">
        <f>INDEX(RAM!A:A,A105+1)</f>
        <v>0</v>
      </c>
      <c r="F105" s="34" t="str">
        <f>IF(A105&lt;128,"Codigo","Datos")</f>
        <v>Codigo</v>
      </c>
    </row>
    <row r="106" spans="1:6" x14ac:dyDescent="0.3">
      <c r="A106" s="34">
        <v>104</v>
      </c>
      <c r="B106" s="34" t="str">
        <f>DEC2HEX(A106,2)&amp;"h"</f>
        <v>68h</v>
      </c>
      <c r="C106" s="34" t="str">
        <f>DEC2HEX(INDEX(RAM!A:A,A106+1),2)</f>
        <v>00</v>
      </c>
      <c r="D106" s="34" t="str">
        <f>DEC2BIN(INDEX(RAM!A:A,A106+1),8)</f>
        <v>00000000</v>
      </c>
      <c r="E106" s="34">
        <f>INDEX(RAM!A:A,A106+1)</f>
        <v>0</v>
      </c>
      <c r="F106" s="34" t="str">
        <f>IF(A106&lt;128,"Codigo","Datos")</f>
        <v>Codigo</v>
      </c>
    </row>
    <row r="107" spans="1:6" x14ac:dyDescent="0.3">
      <c r="A107" s="34">
        <v>105</v>
      </c>
      <c r="B107" s="34" t="str">
        <f>DEC2HEX(A107,2)&amp;"h"</f>
        <v>69h</v>
      </c>
      <c r="C107" s="34" t="str">
        <f>DEC2HEX(INDEX(RAM!A:A,A107+1),2)</f>
        <v>00</v>
      </c>
      <c r="D107" s="34" t="str">
        <f>DEC2BIN(INDEX(RAM!A:A,A107+1),8)</f>
        <v>00000000</v>
      </c>
      <c r="E107" s="34">
        <f>INDEX(RAM!A:A,A107+1)</f>
        <v>0</v>
      </c>
      <c r="F107" s="34" t="str">
        <f>IF(A107&lt;128,"Codigo","Datos")</f>
        <v>Codigo</v>
      </c>
    </row>
    <row r="108" spans="1:6" x14ac:dyDescent="0.3">
      <c r="A108" s="34">
        <v>106</v>
      </c>
      <c r="B108" s="34" t="str">
        <f>DEC2HEX(A108,2)&amp;"h"</f>
        <v>6Ah</v>
      </c>
      <c r="C108" s="34" t="str">
        <f>DEC2HEX(INDEX(RAM!A:A,A108+1),2)</f>
        <v>00</v>
      </c>
      <c r="D108" s="34" t="str">
        <f>DEC2BIN(INDEX(RAM!A:A,A108+1),8)</f>
        <v>00000000</v>
      </c>
      <c r="E108" s="34">
        <f>INDEX(RAM!A:A,A108+1)</f>
        <v>0</v>
      </c>
      <c r="F108" s="34" t="str">
        <f>IF(A108&lt;128,"Codigo","Datos")</f>
        <v>Codigo</v>
      </c>
    </row>
    <row r="109" spans="1:6" x14ac:dyDescent="0.3">
      <c r="A109" s="34">
        <v>107</v>
      </c>
      <c r="B109" s="34" t="str">
        <f>DEC2HEX(A109,2)&amp;"h"</f>
        <v>6Bh</v>
      </c>
      <c r="C109" s="34" t="str">
        <f>DEC2HEX(INDEX(RAM!A:A,A109+1),2)</f>
        <v>00</v>
      </c>
      <c r="D109" s="34" t="str">
        <f>DEC2BIN(INDEX(RAM!A:A,A109+1),8)</f>
        <v>00000000</v>
      </c>
      <c r="E109" s="34">
        <f>INDEX(RAM!A:A,A109+1)</f>
        <v>0</v>
      </c>
      <c r="F109" s="34" t="str">
        <f>IF(A109&lt;128,"Codigo","Datos")</f>
        <v>Codigo</v>
      </c>
    </row>
    <row r="110" spans="1:6" x14ac:dyDescent="0.3">
      <c r="A110" s="34">
        <v>108</v>
      </c>
      <c r="B110" s="34" t="str">
        <f>DEC2HEX(A110,2)&amp;"h"</f>
        <v>6Ch</v>
      </c>
      <c r="C110" s="34" t="str">
        <f>DEC2HEX(INDEX(RAM!A:A,A110+1),2)</f>
        <v>00</v>
      </c>
      <c r="D110" s="34" t="str">
        <f>DEC2BIN(INDEX(RAM!A:A,A110+1),8)</f>
        <v>00000000</v>
      </c>
      <c r="E110" s="34">
        <f>INDEX(RAM!A:A,A110+1)</f>
        <v>0</v>
      </c>
      <c r="F110" s="34" t="str">
        <f>IF(A110&lt;128,"Codigo","Datos")</f>
        <v>Codigo</v>
      </c>
    </row>
    <row r="111" spans="1:6" x14ac:dyDescent="0.3">
      <c r="A111" s="34">
        <v>109</v>
      </c>
      <c r="B111" s="34" t="str">
        <f>DEC2HEX(A111,2)&amp;"h"</f>
        <v>6Dh</v>
      </c>
      <c r="C111" s="34" t="str">
        <f>DEC2HEX(INDEX(RAM!A:A,A111+1),2)</f>
        <v>00</v>
      </c>
      <c r="D111" s="34" t="str">
        <f>DEC2BIN(INDEX(RAM!A:A,A111+1),8)</f>
        <v>00000000</v>
      </c>
      <c r="E111" s="34">
        <f>INDEX(RAM!A:A,A111+1)</f>
        <v>0</v>
      </c>
      <c r="F111" s="34" t="str">
        <f>IF(A111&lt;128,"Codigo","Datos")</f>
        <v>Codigo</v>
      </c>
    </row>
    <row r="112" spans="1:6" x14ac:dyDescent="0.3">
      <c r="A112" s="34">
        <v>110</v>
      </c>
      <c r="B112" s="34" t="str">
        <f>DEC2HEX(A112,2)&amp;"h"</f>
        <v>6Eh</v>
      </c>
      <c r="C112" s="34" t="str">
        <f>DEC2HEX(INDEX(RAM!A:A,A112+1),2)</f>
        <v>00</v>
      </c>
      <c r="D112" s="34" t="str">
        <f>DEC2BIN(INDEX(RAM!A:A,A112+1),8)</f>
        <v>00000000</v>
      </c>
      <c r="E112" s="34">
        <f>INDEX(RAM!A:A,A112+1)</f>
        <v>0</v>
      </c>
      <c r="F112" s="34" t="str">
        <f>IF(A112&lt;128,"Codigo","Datos")</f>
        <v>Codigo</v>
      </c>
    </row>
    <row r="113" spans="1:6" x14ac:dyDescent="0.3">
      <c r="A113" s="34">
        <v>111</v>
      </c>
      <c r="B113" s="34" t="str">
        <f>DEC2HEX(A113,2)&amp;"h"</f>
        <v>6Fh</v>
      </c>
      <c r="C113" s="34" t="str">
        <f>DEC2HEX(INDEX(RAM!A:A,A113+1),2)</f>
        <v>00</v>
      </c>
      <c r="D113" s="34" t="str">
        <f>DEC2BIN(INDEX(RAM!A:A,A113+1),8)</f>
        <v>00000000</v>
      </c>
      <c r="E113" s="34">
        <f>INDEX(RAM!A:A,A113+1)</f>
        <v>0</v>
      </c>
      <c r="F113" s="34" t="str">
        <f>IF(A113&lt;128,"Codigo","Datos")</f>
        <v>Codigo</v>
      </c>
    </row>
    <row r="114" spans="1:6" x14ac:dyDescent="0.3">
      <c r="A114" s="34">
        <v>112</v>
      </c>
      <c r="B114" s="34" t="str">
        <f>DEC2HEX(A114,2)&amp;"h"</f>
        <v>70h</v>
      </c>
      <c r="C114" s="34" t="str">
        <f>DEC2HEX(INDEX(RAM!A:A,A114+1),2)</f>
        <v>00</v>
      </c>
      <c r="D114" s="34" t="str">
        <f>DEC2BIN(INDEX(RAM!A:A,A114+1),8)</f>
        <v>00000000</v>
      </c>
      <c r="E114" s="34">
        <f>INDEX(RAM!A:A,A114+1)</f>
        <v>0</v>
      </c>
      <c r="F114" s="34" t="str">
        <f>IF(A114&lt;128,"Codigo","Datos")</f>
        <v>Codigo</v>
      </c>
    </row>
    <row r="115" spans="1:6" x14ac:dyDescent="0.3">
      <c r="A115" s="34">
        <v>113</v>
      </c>
      <c r="B115" s="34" t="str">
        <f>DEC2HEX(A115,2)&amp;"h"</f>
        <v>71h</v>
      </c>
      <c r="C115" s="34" t="str">
        <f>DEC2HEX(INDEX(RAM!A:A,A115+1),2)</f>
        <v>00</v>
      </c>
      <c r="D115" s="34" t="str">
        <f>DEC2BIN(INDEX(RAM!A:A,A115+1),8)</f>
        <v>00000000</v>
      </c>
      <c r="E115" s="34">
        <f>INDEX(RAM!A:A,A115+1)</f>
        <v>0</v>
      </c>
      <c r="F115" s="34" t="str">
        <f>IF(A115&lt;128,"Codigo","Datos")</f>
        <v>Codigo</v>
      </c>
    </row>
    <row r="116" spans="1:6" x14ac:dyDescent="0.3">
      <c r="A116" s="34">
        <v>114</v>
      </c>
      <c r="B116" s="34" t="str">
        <f>DEC2HEX(A116,2)&amp;"h"</f>
        <v>72h</v>
      </c>
      <c r="C116" s="34" t="str">
        <f>DEC2HEX(INDEX(RAM!A:A,A116+1),2)</f>
        <v>00</v>
      </c>
      <c r="D116" s="34" t="str">
        <f>DEC2BIN(INDEX(RAM!A:A,A116+1),8)</f>
        <v>00000000</v>
      </c>
      <c r="E116" s="34">
        <f>INDEX(RAM!A:A,A116+1)</f>
        <v>0</v>
      </c>
      <c r="F116" s="34" t="str">
        <f>IF(A116&lt;128,"Codigo","Datos")</f>
        <v>Codigo</v>
      </c>
    </row>
    <row r="117" spans="1:6" x14ac:dyDescent="0.3">
      <c r="A117" s="34">
        <v>115</v>
      </c>
      <c r="B117" s="34" t="str">
        <f>DEC2HEX(A117,2)&amp;"h"</f>
        <v>73h</v>
      </c>
      <c r="C117" s="34" t="str">
        <f>DEC2HEX(INDEX(RAM!A:A,A117+1),2)</f>
        <v>00</v>
      </c>
      <c r="D117" s="34" t="str">
        <f>DEC2BIN(INDEX(RAM!A:A,A117+1),8)</f>
        <v>00000000</v>
      </c>
      <c r="E117" s="34">
        <f>INDEX(RAM!A:A,A117+1)</f>
        <v>0</v>
      </c>
      <c r="F117" s="34" t="str">
        <f>IF(A117&lt;128,"Codigo","Datos")</f>
        <v>Codigo</v>
      </c>
    </row>
    <row r="118" spans="1:6" x14ac:dyDescent="0.3">
      <c r="A118" s="34">
        <v>116</v>
      </c>
      <c r="B118" s="34" t="str">
        <f>DEC2HEX(A118,2)&amp;"h"</f>
        <v>74h</v>
      </c>
      <c r="C118" s="34" t="str">
        <f>DEC2HEX(INDEX(RAM!A:A,A118+1),2)</f>
        <v>00</v>
      </c>
      <c r="D118" s="34" t="str">
        <f>DEC2BIN(INDEX(RAM!A:A,A118+1),8)</f>
        <v>00000000</v>
      </c>
      <c r="E118" s="34">
        <f>INDEX(RAM!A:A,A118+1)</f>
        <v>0</v>
      </c>
      <c r="F118" s="34" t="str">
        <f>IF(A118&lt;128,"Codigo","Datos")</f>
        <v>Codigo</v>
      </c>
    </row>
    <row r="119" spans="1:6" x14ac:dyDescent="0.3">
      <c r="A119" s="34">
        <v>117</v>
      </c>
      <c r="B119" s="34" t="str">
        <f>DEC2HEX(A119,2)&amp;"h"</f>
        <v>75h</v>
      </c>
      <c r="C119" s="34" t="str">
        <f>DEC2HEX(INDEX(RAM!A:A,A119+1),2)</f>
        <v>00</v>
      </c>
      <c r="D119" s="34" t="str">
        <f>DEC2BIN(INDEX(RAM!A:A,A119+1),8)</f>
        <v>00000000</v>
      </c>
      <c r="E119" s="34">
        <f>INDEX(RAM!A:A,A119+1)</f>
        <v>0</v>
      </c>
      <c r="F119" s="34" t="str">
        <f>IF(A119&lt;128,"Codigo","Datos")</f>
        <v>Codigo</v>
      </c>
    </row>
    <row r="120" spans="1:6" x14ac:dyDescent="0.3">
      <c r="A120" s="34">
        <v>118</v>
      </c>
      <c r="B120" s="34" t="str">
        <f>DEC2HEX(A120,2)&amp;"h"</f>
        <v>76h</v>
      </c>
      <c r="C120" s="34" t="str">
        <f>DEC2HEX(INDEX(RAM!A:A,A120+1),2)</f>
        <v>00</v>
      </c>
      <c r="D120" s="34" t="str">
        <f>DEC2BIN(INDEX(RAM!A:A,A120+1),8)</f>
        <v>00000000</v>
      </c>
      <c r="E120" s="34">
        <f>INDEX(RAM!A:A,A120+1)</f>
        <v>0</v>
      </c>
      <c r="F120" s="34" t="str">
        <f>IF(A120&lt;128,"Codigo","Datos")</f>
        <v>Codigo</v>
      </c>
    </row>
    <row r="121" spans="1:6" x14ac:dyDescent="0.3">
      <c r="A121" s="34">
        <v>119</v>
      </c>
      <c r="B121" s="34" t="str">
        <f>DEC2HEX(A121,2)&amp;"h"</f>
        <v>77h</v>
      </c>
      <c r="C121" s="34" t="str">
        <f>DEC2HEX(INDEX(RAM!A:A,A121+1),2)</f>
        <v>00</v>
      </c>
      <c r="D121" s="34" t="str">
        <f>DEC2BIN(INDEX(RAM!A:A,A121+1),8)</f>
        <v>00000000</v>
      </c>
      <c r="E121" s="34">
        <f>INDEX(RAM!A:A,A121+1)</f>
        <v>0</v>
      </c>
      <c r="F121" s="34" t="str">
        <f>IF(A121&lt;128,"Codigo","Datos")</f>
        <v>Codigo</v>
      </c>
    </row>
    <row r="122" spans="1:6" x14ac:dyDescent="0.3">
      <c r="A122" s="34">
        <v>120</v>
      </c>
      <c r="B122" s="34" t="str">
        <f>DEC2HEX(A122,2)&amp;"h"</f>
        <v>78h</v>
      </c>
      <c r="C122" s="34" t="str">
        <f>DEC2HEX(INDEX(RAM!A:A,A122+1),2)</f>
        <v>00</v>
      </c>
      <c r="D122" s="34" t="str">
        <f>DEC2BIN(INDEX(RAM!A:A,A122+1),8)</f>
        <v>00000000</v>
      </c>
      <c r="E122" s="34">
        <f>INDEX(RAM!A:A,A122+1)</f>
        <v>0</v>
      </c>
      <c r="F122" s="34" t="str">
        <f>IF(A122&lt;128,"Codigo","Datos")</f>
        <v>Codigo</v>
      </c>
    </row>
    <row r="123" spans="1:6" x14ac:dyDescent="0.3">
      <c r="A123" s="34">
        <v>121</v>
      </c>
      <c r="B123" s="34" t="str">
        <f>DEC2HEX(A123,2)&amp;"h"</f>
        <v>79h</v>
      </c>
      <c r="C123" s="34" t="str">
        <f>DEC2HEX(INDEX(RAM!A:A,A123+1),2)</f>
        <v>00</v>
      </c>
      <c r="D123" s="34" t="str">
        <f>DEC2BIN(INDEX(RAM!A:A,A123+1),8)</f>
        <v>00000000</v>
      </c>
      <c r="E123" s="34">
        <f>INDEX(RAM!A:A,A123+1)</f>
        <v>0</v>
      </c>
      <c r="F123" s="34" t="str">
        <f>IF(A123&lt;128,"Codigo","Datos")</f>
        <v>Codigo</v>
      </c>
    </row>
    <row r="124" spans="1:6" x14ac:dyDescent="0.3">
      <c r="A124" s="34">
        <v>122</v>
      </c>
      <c r="B124" s="34" t="str">
        <f>DEC2HEX(A124,2)&amp;"h"</f>
        <v>7Ah</v>
      </c>
      <c r="C124" s="34" t="str">
        <f>DEC2HEX(INDEX(RAM!A:A,A124+1),2)</f>
        <v>00</v>
      </c>
      <c r="D124" s="34" t="str">
        <f>DEC2BIN(INDEX(RAM!A:A,A124+1),8)</f>
        <v>00000000</v>
      </c>
      <c r="E124" s="34">
        <f>INDEX(RAM!A:A,A124+1)</f>
        <v>0</v>
      </c>
      <c r="F124" s="34" t="str">
        <f>IF(A124&lt;128,"Codigo","Datos")</f>
        <v>Codigo</v>
      </c>
    </row>
    <row r="125" spans="1:6" x14ac:dyDescent="0.3">
      <c r="A125" s="34">
        <v>123</v>
      </c>
      <c r="B125" s="34" t="str">
        <f>DEC2HEX(A125,2)&amp;"h"</f>
        <v>7Bh</v>
      </c>
      <c r="C125" s="34" t="str">
        <f>DEC2HEX(INDEX(RAM!A:A,A125+1),2)</f>
        <v>00</v>
      </c>
      <c r="D125" s="34" t="str">
        <f>DEC2BIN(INDEX(RAM!A:A,A125+1),8)</f>
        <v>00000000</v>
      </c>
      <c r="E125" s="34">
        <f>INDEX(RAM!A:A,A125+1)</f>
        <v>0</v>
      </c>
      <c r="F125" s="34" t="str">
        <f>IF(A125&lt;128,"Codigo","Datos")</f>
        <v>Codigo</v>
      </c>
    </row>
    <row r="126" spans="1:6" x14ac:dyDescent="0.3">
      <c r="A126" s="34">
        <v>124</v>
      </c>
      <c r="B126" s="34" t="str">
        <f>DEC2HEX(A126,2)&amp;"h"</f>
        <v>7Ch</v>
      </c>
      <c r="C126" s="34" t="str">
        <f>DEC2HEX(INDEX(RAM!A:A,A126+1),2)</f>
        <v>00</v>
      </c>
      <c r="D126" s="34" t="str">
        <f>DEC2BIN(INDEX(RAM!A:A,A126+1),8)</f>
        <v>00000000</v>
      </c>
      <c r="E126" s="34">
        <f>INDEX(RAM!A:A,A126+1)</f>
        <v>0</v>
      </c>
      <c r="F126" s="34" t="str">
        <f>IF(A126&lt;128,"Codigo","Datos")</f>
        <v>Codigo</v>
      </c>
    </row>
    <row r="127" spans="1:6" x14ac:dyDescent="0.3">
      <c r="A127" s="34">
        <v>125</v>
      </c>
      <c r="B127" s="34" t="str">
        <f>DEC2HEX(A127,2)&amp;"h"</f>
        <v>7Dh</v>
      </c>
      <c r="C127" s="34" t="str">
        <f>DEC2HEX(INDEX(RAM!A:A,A127+1),2)</f>
        <v>00</v>
      </c>
      <c r="D127" s="34" t="str">
        <f>DEC2BIN(INDEX(RAM!A:A,A127+1),8)</f>
        <v>00000000</v>
      </c>
      <c r="E127" s="34">
        <f>INDEX(RAM!A:A,A127+1)</f>
        <v>0</v>
      </c>
      <c r="F127" s="34" t="str">
        <f>IF(A127&lt;128,"Codigo","Datos")</f>
        <v>Codigo</v>
      </c>
    </row>
    <row r="128" spans="1:6" x14ac:dyDescent="0.3">
      <c r="A128" s="34">
        <v>126</v>
      </c>
      <c r="B128" s="34" t="str">
        <f>DEC2HEX(A128,2)&amp;"h"</f>
        <v>7Eh</v>
      </c>
      <c r="C128" s="34" t="str">
        <f>DEC2HEX(INDEX(RAM!A:A,A128+1),2)</f>
        <v>00</v>
      </c>
      <c r="D128" s="34" t="str">
        <f>DEC2BIN(INDEX(RAM!A:A,A128+1),8)</f>
        <v>00000000</v>
      </c>
      <c r="E128" s="34">
        <f>INDEX(RAM!A:A,A128+1)</f>
        <v>0</v>
      </c>
      <c r="F128" s="34" t="str">
        <f>IF(A128&lt;128,"Codigo","Datos")</f>
        <v>Codigo</v>
      </c>
    </row>
    <row r="129" spans="1:6" x14ac:dyDescent="0.3">
      <c r="A129" s="34">
        <v>127</v>
      </c>
      <c r="B129" s="34" t="str">
        <f>DEC2HEX(A129,2)&amp;"h"</f>
        <v>7Fh</v>
      </c>
      <c r="C129" s="34" t="str">
        <f>DEC2HEX(INDEX(RAM!A:A,A129+1),2)</f>
        <v>00</v>
      </c>
      <c r="D129" s="34" t="str">
        <f>DEC2BIN(INDEX(RAM!A:A,A129+1),8)</f>
        <v>00000000</v>
      </c>
      <c r="E129" s="34">
        <f>INDEX(RAM!A:A,A129+1)</f>
        <v>0</v>
      </c>
      <c r="F129" s="34" t="str">
        <f>IF(A129&lt;128,"Codigo","Datos")</f>
        <v>Codigo</v>
      </c>
    </row>
    <row r="130" spans="1:6" x14ac:dyDescent="0.3">
      <c r="A130" s="35">
        <v>128</v>
      </c>
      <c r="B130" s="35" t="str">
        <f>DEC2HEX(A130,2)&amp;"h"</f>
        <v>80h</v>
      </c>
      <c r="C130" s="35" t="str">
        <f>DEC2HEX(INDEX(RAM!A:A,A130+1),2)</f>
        <v>2A</v>
      </c>
      <c r="D130" s="35" t="str">
        <f>DEC2BIN(INDEX(RAM!A:A,A130+1),8)</f>
        <v>00101010</v>
      </c>
      <c r="E130" s="35">
        <f>INDEX(RAM!A:A,A130+1)</f>
        <v>42</v>
      </c>
      <c r="F130" s="35" t="str">
        <f>IF(A130&lt;128,"Codigo","Datos")</f>
        <v>Datos</v>
      </c>
    </row>
    <row r="131" spans="1:6" x14ac:dyDescent="0.3">
      <c r="A131" s="35">
        <v>129</v>
      </c>
      <c r="B131" s="35" t="str">
        <f>DEC2HEX(A131,2)&amp;"h"</f>
        <v>81h</v>
      </c>
      <c r="C131" s="35" t="str">
        <f>DEC2HEX(INDEX(RAM!A:A,A131+1),2)</f>
        <v>00</v>
      </c>
      <c r="D131" s="35" t="str">
        <f>DEC2BIN(INDEX(RAM!A:A,A131+1),8)</f>
        <v>00000000</v>
      </c>
      <c r="E131" s="35">
        <f>INDEX(RAM!A:A,A131+1)</f>
        <v>0</v>
      </c>
      <c r="F131" s="35" t="str">
        <f>IF(A131&lt;128,"Codigo","Datos")</f>
        <v>Datos</v>
      </c>
    </row>
    <row r="132" spans="1:6" x14ac:dyDescent="0.3">
      <c r="A132" s="35">
        <v>130</v>
      </c>
      <c r="B132" s="35" t="str">
        <f>DEC2HEX(A132,2)&amp;"h"</f>
        <v>82h</v>
      </c>
      <c r="C132" s="35" t="str">
        <f>DEC2HEX(INDEX(RAM!A:A,A132+1),2)</f>
        <v>00</v>
      </c>
      <c r="D132" s="35" t="str">
        <f>DEC2BIN(INDEX(RAM!A:A,A132+1),8)</f>
        <v>00000000</v>
      </c>
      <c r="E132" s="35">
        <f>INDEX(RAM!A:A,A132+1)</f>
        <v>0</v>
      </c>
      <c r="F132" s="35" t="str">
        <f>IF(A132&lt;128,"Codigo","Datos")</f>
        <v>Datos</v>
      </c>
    </row>
    <row r="133" spans="1:6" x14ac:dyDescent="0.3">
      <c r="A133" s="35">
        <v>131</v>
      </c>
      <c r="B133" s="35" t="str">
        <f>DEC2HEX(A133,2)&amp;"h"</f>
        <v>83h</v>
      </c>
      <c r="C133" s="35" t="str">
        <f>DEC2HEX(INDEX(RAM!A:A,A133+1),2)</f>
        <v>00</v>
      </c>
      <c r="D133" s="35" t="str">
        <f>DEC2BIN(INDEX(RAM!A:A,A133+1),8)</f>
        <v>00000000</v>
      </c>
      <c r="E133" s="35">
        <f>INDEX(RAM!A:A,A133+1)</f>
        <v>0</v>
      </c>
      <c r="F133" s="35" t="str">
        <f>IF(A133&lt;128,"Codigo","Datos")</f>
        <v>Datos</v>
      </c>
    </row>
    <row r="134" spans="1:6" x14ac:dyDescent="0.3">
      <c r="A134" s="35">
        <v>132</v>
      </c>
      <c r="B134" s="35" t="str">
        <f>DEC2HEX(A134,2)&amp;"h"</f>
        <v>84h</v>
      </c>
      <c r="C134" s="35" t="str">
        <f>DEC2HEX(INDEX(RAM!A:A,A134+1),2)</f>
        <v>00</v>
      </c>
      <c r="D134" s="35" t="str">
        <f>DEC2BIN(INDEX(RAM!A:A,A134+1),8)</f>
        <v>00000000</v>
      </c>
      <c r="E134" s="35">
        <f>INDEX(RAM!A:A,A134+1)</f>
        <v>0</v>
      </c>
      <c r="F134" s="35" t="str">
        <f>IF(A134&lt;128,"Codigo","Datos")</f>
        <v>Datos</v>
      </c>
    </row>
    <row r="135" spans="1:6" x14ac:dyDescent="0.3">
      <c r="A135" s="35">
        <v>133</v>
      </c>
      <c r="B135" s="35" t="str">
        <f>DEC2HEX(A135,2)&amp;"h"</f>
        <v>85h</v>
      </c>
      <c r="C135" s="35" t="str">
        <f>DEC2HEX(INDEX(RAM!A:A,A135+1),2)</f>
        <v>00</v>
      </c>
      <c r="D135" s="35" t="str">
        <f>DEC2BIN(INDEX(RAM!A:A,A135+1),8)</f>
        <v>00000000</v>
      </c>
      <c r="E135" s="35">
        <f>INDEX(RAM!A:A,A135+1)</f>
        <v>0</v>
      </c>
      <c r="F135" s="35" t="str">
        <f>IF(A135&lt;128,"Codigo","Datos")</f>
        <v>Datos</v>
      </c>
    </row>
    <row r="136" spans="1:6" x14ac:dyDescent="0.3">
      <c r="A136" s="35">
        <v>134</v>
      </c>
      <c r="B136" s="35" t="str">
        <f>DEC2HEX(A136,2)&amp;"h"</f>
        <v>86h</v>
      </c>
      <c r="C136" s="35" t="str">
        <f>DEC2HEX(INDEX(RAM!A:A,A136+1),2)</f>
        <v>00</v>
      </c>
      <c r="D136" s="35" t="str">
        <f>DEC2BIN(INDEX(RAM!A:A,A136+1),8)</f>
        <v>00000000</v>
      </c>
      <c r="E136" s="35">
        <f>INDEX(RAM!A:A,A136+1)</f>
        <v>0</v>
      </c>
      <c r="F136" s="35" t="str">
        <f>IF(A136&lt;128,"Codigo","Datos")</f>
        <v>Datos</v>
      </c>
    </row>
    <row r="137" spans="1:6" x14ac:dyDescent="0.3">
      <c r="A137" s="35">
        <v>135</v>
      </c>
      <c r="B137" s="35" t="str">
        <f>DEC2HEX(A137,2)&amp;"h"</f>
        <v>87h</v>
      </c>
      <c r="C137" s="35" t="str">
        <f>DEC2HEX(INDEX(RAM!A:A,A137+1),2)</f>
        <v>00</v>
      </c>
      <c r="D137" s="35" t="str">
        <f>DEC2BIN(INDEX(RAM!A:A,A137+1),8)</f>
        <v>00000000</v>
      </c>
      <c r="E137" s="35">
        <f>INDEX(RAM!A:A,A137+1)</f>
        <v>0</v>
      </c>
      <c r="F137" s="35" t="str">
        <f>IF(A137&lt;128,"Codigo","Datos")</f>
        <v>Datos</v>
      </c>
    </row>
    <row r="138" spans="1:6" x14ac:dyDescent="0.3">
      <c r="A138" s="35">
        <v>136</v>
      </c>
      <c r="B138" s="35" t="str">
        <f>DEC2HEX(A138,2)&amp;"h"</f>
        <v>88h</v>
      </c>
      <c r="C138" s="35" t="str">
        <f>DEC2HEX(INDEX(RAM!A:A,A138+1),2)</f>
        <v>00</v>
      </c>
      <c r="D138" s="35" t="str">
        <f>DEC2BIN(INDEX(RAM!A:A,A138+1),8)</f>
        <v>00000000</v>
      </c>
      <c r="E138" s="35">
        <f>INDEX(RAM!A:A,A138+1)</f>
        <v>0</v>
      </c>
      <c r="F138" s="35" t="str">
        <f>IF(A138&lt;128,"Codigo","Datos")</f>
        <v>Datos</v>
      </c>
    </row>
    <row r="139" spans="1:6" x14ac:dyDescent="0.3">
      <c r="A139" s="35">
        <v>137</v>
      </c>
      <c r="B139" s="35" t="str">
        <f>DEC2HEX(A139,2)&amp;"h"</f>
        <v>89h</v>
      </c>
      <c r="C139" s="35" t="str">
        <f>DEC2HEX(INDEX(RAM!A:A,A139+1),2)</f>
        <v>00</v>
      </c>
      <c r="D139" s="35" t="str">
        <f>DEC2BIN(INDEX(RAM!A:A,A139+1),8)</f>
        <v>00000000</v>
      </c>
      <c r="E139" s="35">
        <f>INDEX(RAM!A:A,A139+1)</f>
        <v>0</v>
      </c>
      <c r="F139" s="35" t="str">
        <f>IF(A139&lt;128,"Codigo","Datos")</f>
        <v>Datos</v>
      </c>
    </row>
    <row r="140" spans="1:6" x14ac:dyDescent="0.3">
      <c r="A140" s="35">
        <v>138</v>
      </c>
      <c r="B140" s="35" t="str">
        <f>DEC2HEX(A140,2)&amp;"h"</f>
        <v>8Ah</v>
      </c>
      <c r="C140" s="35" t="str">
        <f>DEC2HEX(INDEX(RAM!A:A,A140+1),2)</f>
        <v>00</v>
      </c>
      <c r="D140" s="35" t="str">
        <f>DEC2BIN(INDEX(RAM!A:A,A140+1),8)</f>
        <v>00000000</v>
      </c>
      <c r="E140" s="35">
        <f>INDEX(RAM!A:A,A140+1)</f>
        <v>0</v>
      </c>
      <c r="F140" s="35" t="str">
        <f>IF(A140&lt;128,"Codigo","Datos")</f>
        <v>Datos</v>
      </c>
    </row>
    <row r="141" spans="1:6" x14ac:dyDescent="0.3">
      <c r="A141" s="35">
        <v>139</v>
      </c>
      <c r="B141" s="35" t="str">
        <f>DEC2HEX(A141,2)&amp;"h"</f>
        <v>8Bh</v>
      </c>
      <c r="C141" s="35" t="str">
        <f>DEC2HEX(INDEX(RAM!A:A,A141+1),2)</f>
        <v>00</v>
      </c>
      <c r="D141" s="35" t="str">
        <f>DEC2BIN(INDEX(RAM!A:A,A141+1),8)</f>
        <v>00000000</v>
      </c>
      <c r="E141" s="35">
        <f>INDEX(RAM!A:A,A141+1)</f>
        <v>0</v>
      </c>
      <c r="F141" s="35" t="str">
        <f>IF(A141&lt;128,"Codigo","Datos")</f>
        <v>Datos</v>
      </c>
    </row>
    <row r="142" spans="1:6" x14ac:dyDescent="0.3">
      <c r="A142" s="35">
        <v>140</v>
      </c>
      <c r="B142" s="35" t="str">
        <f>DEC2HEX(A142,2)&amp;"h"</f>
        <v>8Ch</v>
      </c>
      <c r="C142" s="35" t="str">
        <f>DEC2HEX(INDEX(RAM!A:A,A142+1),2)</f>
        <v>00</v>
      </c>
      <c r="D142" s="35" t="str">
        <f>DEC2BIN(INDEX(RAM!A:A,A142+1),8)</f>
        <v>00000000</v>
      </c>
      <c r="E142" s="35">
        <f>INDEX(RAM!A:A,A142+1)</f>
        <v>0</v>
      </c>
      <c r="F142" s="35" t="str">
        <f>IF(A142&lt;128,"Codigo","Datos")</f>
        <v>Datos</v>
      </c>
    </row>
    <row r="143" spans="1:6" x14ac:dyDescent="0.3">
      <c r="A143" s="35">
        <v>141</v>
      </c>
      <c r="B143" s="35" t="str">
        <f>DEC2HEX(A143,2)&amp;"h"</f>
        <v>8Dh</v>
      </c>
      <c r="C143" s="35" t="str">
        <f>DEC2HEX(INDEX(RAM!A:A,A143+1),2)</f>
        <v>00</v>
      </c>
      <c r="D143" s="35" t="str">
        <f>DEC2BIN(INDEX(RAM!A:A,A143+1),8)</f>
        <v>00000000</v>
      </c>
      <c r="E143" s="35">
        <f>INDEX(RAM!A:A,A143+1)</f>
        <v>0</v>
      </c>
      <c r="F143" s="35" t="str">
        <f>IF(A143&lt;128,"Codigo","Datos")</f>
        <v>Datos</v>
      </c>
    </row>
    <row r="144" spans="1:6" x14ac:dyDescent="0.3">
      <c r="A144" s="35">
        <v>142</v>
      </c>
      <c r="B144" s="35" t="str">
        <f>DEC2HEX(A144,2)&amp;"h"</f>
        <v>8Eh</v>
      </c>
      <c r="C144" s="35" t="str">
        <f>DEC2HEX(INDEX(RAM!A:A,A144+1),2)</f>
        <v>00</v>
      </c>
      <c r="D144" s="35" t="str">
        <f>DEC2BIN(INDEX(RAM!A:A,A144+1),8)</f>
        <v>00000000</v>
      </c>
      <c r="E144" s="35">
        <f>INDEX(RAM!A:A,A144+1)</f>
        <v>0</v>
      </c>
      <c r="F144" s="35" t="str">
        <f>IF(A144&lt;128,"Codigo","Datos")</f>
        <v>Datos</v>
      </c>
    </row>
    <row r="145" spans="1:6" x14ac:dyDescent="0.3">
      <c r="A145" s="35">
        <v>143</v>
      </c>
      <c r="B145" s="35" t="str">
        <f>DEC2HEX(A145,2)&amp;"h"</f>
        <v>8Fh</v>
      </c>
      <c r="C145" s="35" t="str">
        <f>DEC2HEX(INDEX(RAM!A:A,A145+1),2)</f>
        <v>00</v>
      </c>
      <c r="D145" s="35" t="str">
        <f>DEC2BIN(INDEX(RAM!A:A,A145+1),8)</f>
        <v>00000000</v>
      </c>
      <c r="E145" s="35">
        <f>INDEX(RAM!A:A,A145+1)</f>
        <v>0</v>
      </c>
      <c r="F145" s="35" t="str">
        <f>IF(A145&lt;128,"Codigo","Datos")</f>
        <v>Datos</v>
      </c>
    </row>
    <row r="146" spans="1:6" x14ac:dyDescent="0.3">
      <c r="A146" s="35">
        <v>144</v>
      </c>
      <c r="B146" s="35" t="str">
        <f>DEC2HEX(A146,2)&amp;"h"</f>
        <v>90h</v>
      </c>
      <c r="C146" s="35" t="str">
        <f>DEC2HEX(INDEX(RAM!A:A,A146+1),2)</f>
        <v>00</v>
      </c>
      <c r="D146" s="35" t="str">
        <f>DEC2BIN(INDEX(RAM!A:A,A146+1),8)</f>
        <v>00000000</v>
      </c>
      <c r="E146" s="35">
        <f>INDEX(RAM!A:A,A146+1)</f>
        <v>0</v>
      </c>
      <c r="F146" s="35" t="str">
        <f>IF(A146&lt;128,"Codigo","Datos")</f>
        <v>Datos</v>
      </c>
    </row>
    <row r="147" spans="1:6" x14ac:dyDescent="0.3">
      <c r="A147" s="35">
        <v>145</v>
      </c>
      <c r="B147" s="35" t="str">
        <f>DEC2HEX(A147,2)&amp;"h"</f>
        <v>91h</v>
      </c>
      <c r="C147" s="35" t="str">
        <f>DEC2HEX(INDEX(RAM!A:A,A147+1),2)</f>
        <v>00</v>
      </c>
      <c r="D147" s="35" t="str">
        <f>DEC2BIN(INDEX(RAM!A:A,A147+1),8)</f>
        <v>00000000</v>
      </c>
      <c r="E147" s="35">
        <f>INDEX(RAM!A:A,A147+1)</f>
        <v>0</v>
      </c>
      <c r="F147" s="35" t="str">
        <f>IF(A147&lt;128,"Codigo","Datos")</f>
        <v>Datos</v>
      </c>
    </row>
    <row r="148" spans="1:6" x14ac:dyDescent="0.3">
      <c r="A148" s="35">
        <v>146</v>
      </c>
      <c r="B148" s="35" t="str">
        <f>DEC2HEX(A148,2)&amp;"h"</f>
        <v>92h</v>
      </c>
      <c r="C148" s="35" t="str">
        <f>DEC2HEX(INDEX(RAM!A:A,A148+1),2)</f>
        <v>00</v>
      </c>
      <c r="D148" s="35" t="str">
        <f>DEC2BIN(INDEX(RAM!A:A,A148+1),8)</f>
        <v>00000000</v>
      </c>
      <c r="E148" s="35">
        <f>INDEX(RAM!A:A,A148+1)</f>
        <v>0</v>
      </c>
      <c r="F148" s="35" t="str">
        <f>IF(A148&lt;128,"Codigo","Datos")</f>
        <v>Datos</v>
      </c>
    </row>
    <row r="149" spans="1:6" x14ac:dyDescent="0.3">
      <c r="A149" s="35">
        <v>147</v>
      </c>
      <c r="B149" s="35" t="str">
        <f>DEC2HEX(A149,2)&amp;"h"</f>
        <v>93h</v>
      </c>
      <c r="C149" s="35" t="str">
        <f>DEC2HEX(INDEX(RAM!A:A,A149+1),2)</f>
        <v>00</v>
      </c>
      <c r="D149" s="35" t="str">
        <f>DEC2BIN(INDEX(RAM!A:A,A149+1),8)</f>
        <v>00000000</v>
      </c>
      <c r="E149" s="35">
        <f>INDEX(RAM!A:A,A149+1)</f>
        <v>0</v>
      </c>
      <c r="F149" s="35" t="str">
        <f>IF(A149&lt;128,"Codigo","Datos")</f>
        <v>Datos</v>
      </c>
    </row>
    <row r="150" spans="1:6" x14ac:dyDescent="0.3">
      <c r="A150" s="35">
        <v>148</v>
      </c>
      <c r="B150" s="35" t="str">
        <f>DEC2HEX(A150,2)&amp;"h"</f>
        <v>94h</v>
      </c>
      <c r="C150" s="35" t="str">
        <f>DEC2HEX(INDEX(RAM!A:A,A150+1),2)</f>
        <v>00</v>
      </c>
      <c r="D150" s="35" t="str">
        <f>DEC2BIN(INDEX(RAM!A:A,A150+1),8)</f>
        <v>00000000</v>
      </c>
      <c r="E150" s="35">
        <f>INDEX(RAM!A:A,A150+1)</f>
        <v>0</v>
      </c>
      <c r="F150" s="35" t="str">
        <f>IF(A150&lt;128,"Codigo","Datos")</f>
        <v>Datos</v>
      </c>
    </row>
    <row r="151" spans="1:6" x14ac:dyDescent="0.3">
      <c r="A151" s="35">
        <v>149</v>
      </c>
      <c r="B151" s="35" t="str">
        <f>DEC2HEX(A151,2)&amp;"h"</f>
        <v>95h</v>
      </c>
      <c r="C151" s="35" t="str">
        <f>DEC2HEX(INDEX(RAM!A:A,A151+1),2)</f>
        <v>00</v>
      </c>
      <c r="D151" s="35" t="str">
        <f>DEC2BIN(INDEX(RAM!A:A,A151+1),8)</f>
        <v>00000000</v>
      </c>
      <c r="E151" s="35">
        <f>INDEX(RAM!A:A,A151+1)</f>
        <v>0</v>
      </c>
      <c r="F151" s="35" t="str">
        <f>IF(A151&lt;128,"Codigo","Datos")</f>
        <v>Datos</v>
      </c>
    </row>
    <row r="152" spans="1:6" x14ac:dyDescent="0.3">
      <c r="A152" s="35">
        <v>150</v>
      </c>
      <c r="B152" s="35" t="str">
        <f>DEC2HEX(A152,2)&amp;"h"</f>
        <v>96h</v>
      </c>
      <c r="C152" s="35" t="str">
        <f>DEC2HEX(INDEX(RAM!A:A,A152+1),2)</f>
        <v>00</v>
      </c>
      <c r="D152" s="35" t="str">
        <f>DEC2BIN(INDEX(RAM!A:A,A152+1),8)</f>
        <v>00000000</v>
      </c>
      <c r="E152" s="35">
        <f>INDEX(RAM!A:A,A152+1)</f>
        <v>0</v>
      </c>
      <c r="F152" s="35" t="str">
        <f>IF(A152&lt;128,"Codigo","Datos")</f>
        <v>Datos</v>
      </c>
    </row>
    <row r="153" spans="1:6" x14ac:dyDescent="0.3">
      <c r="A153" s="35">
        <v>151</v>
      </c>
      <c r="B153" s="35" t="str">
        <f>DEC2HEX(A153,2)&amp;"h"</f>
        <v>97h</v>
      </c>
      <c r="C153" s="35" t="str">
        <f>DEC2HEX(INDEX(RAM!A:A,A153+1),2)</f>
        <v>00</v>
      </c>
      <c r="D153" s="35" t="str">
        <f>DEC2BIN(INDEX(RAM!A:A,A153+1),8)</f>
        <v>00000000</v>
      </c>
      <c r="E153" s="35">
        <f>INDEX(RAM!A:A,A153+1)</f>
        <v>0</v>
      </c>
      <c r="F153" s="35" t="str">
        <f>IF(A153&lt;128,"Codigo","Datos")</f>
        <v>Datos</v>
      </c>
    </row>
    <row r="154" spans="1:6" x14ac:dyDescent="0.3">
      <c r="A154" s="35">
        <v>152</v>
      </c>
      <c r="B154" s="35" t="str">
        <f>DEC2HEX(A154,2)&amp;"h"</f>
        <v>98h</v>
      </c>
      <c r="C154" s="35" t="str">
        <f>DEC2HEX(INDEX(RAM!A:A,A154+1),2)</f>
        <v>00</v>
      </c>
      <c r="D154" s="35" t="str">
        <f>DEC2BIN(INDEX(RAM!A:A,A154+1),8)</f>
        <v>00000000</v>
      </c>
      <c r="E154" s="35">
        <f>INDEX(RAM!A:A,A154+1)</f>
        <v>0</v>
      </c>
      <c r="F154" s="35" t="str">
        <f>IF(A154&lt;128,"Codigo","Datos")</f>
        <v>Datos</v>
      </c>
    </row>
    <row r="155" spans="1:6" x14ac:dyDescent="0.3">
      <c r="A155" s="35">
        <v>153</v>
      </c>
      <c r="B155" s="35" t="str">
        <f>DEC2HEX(A155,2)&amp;"h"</f>
        <v>99h</v>
      </c>
      <c r="C155" s="35" t="str">
        <f>DEC2HEX(INDEX(RAM!A:A,A155+1),2)</f>
        <v>00</v>
      </c>
      <c r="D155" s="35" t="str">
        <f>DEC2BIN(INDEX(RAM!A:A,A155+1),8)</f>
        <v>00000000</v>
      </c>
      <c r="E155" s="35">
        <f>INDEX(RAM!A:A,A155+1)</f>
        <v>0</v>
      </c>
      <c r="F155" s="35" t="str">
        <f>IF(A155&lt;128,"Codigo","Datos")</f>
        <v>Datos</v>
      </c>
    </row>
    <row r="156" spans="1:6" x14ac:dyDescent="0.3">
      <c r="A156" s="35">
        <v>154</v>
      </c>
      <c r="B156" s="35" t="str">
        <f>DEC2HEX(A156,2)&amp;"h"</f>
        <v>9Ah</v>
      </c>
      <c r="C156" s="35" t="str">
        <f>DEC2HEX(INDEX(RAM!A:A,A156+1),2)</f>
        <v>00</v>
      </c>
      <c r="D156" s="35" t="str">
        <f>DEC2BIN(INDEX(RAM!A:A,A156+1),8)</f>
        <v>00000000</v>
      </c>
      <c r="E156" s="35">
        <f>INDEX(RAM!A:A,A156+1)</f>
        <v>0</v>
      </c>
      <c r="F156" s="35" t="str">
        <f>IF(A156&lt;128,"Codigo","Datos")</f>
        <v>Datos</v>
      </c>
    </row>
    <row r="157" spans="1:6" x14ac:dyDescent="0.3">
      <c r="A157" s="35">
        <v>155</v>
      </c>
      <c r="B157" s="35" t="str">
        <f>DEC2HEX(A157,2)&amp;"h"</f>
        <v>9Bh</v>
      </c>
      <c r="C157" s="35" t="str">
        <f>DEC2HEX(INDEX(RAM!A:A,A157+1),2)</f>
        <v>00</v>
      </c>
      <c r="D157" s="35" t="str">
        <f>DEC2BIN(INDEX(RAM!A:A,A157+1),8)</f>
        <v>00000000</v>
      </c>
      <c r="E157" s="35">
        <f>INDEX(RAM!A:A,A157+1)</f>
        <v>0</v>
      </c>
      <c r="F157" s="35" t="str">
        <f>IF(A157&lt;128,"Codigo","Datos")</f>
        <v>Datos</v>
      </c>
    </row>
    <row r="158" spans="1:6" x14ac:dyDescent="0.3">
      <c r="A158" s="35">
        <v>156</v>
      </c>
      <c r="B158" s="35" t="str">
        <f>DEC2HEX(A158,2)&amp;"h"</f>
        <v>9Ch</v>
      </c>
      <c r="C158" s="35" t="str">
        <f>DEC2HEX(INDEX(RAM!A:A,A158+1),2)</f>
        <v>00</v>
      </c>
      <c r="D158" s="35" t="str">
        <f>DEC2BIN(INDEX(RAM!A:A,A158+1),8)</f>
        <v>00000000</v>
      </c>
      <c r="E158" s="35">
        <f>INDEX(RAM!A:A,A158+1)</f>
        <v>0</v>
      </c>
      <c r="F158" s="35" t="str">
        <f>IF(A158&lt;128,"Codigo","Datos")</f>
        <v>Datos</v>
      </c>
    </row>
    <row r="159" spans="1:6" x14ac:dyDescent="0.3">
      <c r="A159" s="35">
        <v>157</v>
      </c>
      <c r="B159" s="35" t="str">
        <f>DEC2HEX(A159,2)&amp;"h"</f>
        <v>9Dh</v>
      </c>
      <c r="C159" s="35" t="str">
        <f>DEC2HEX(INDEX(RAM!A:A,A159+1),2)</f>
        <v>00</v>
      </c>
      <c r="D159" s="35" t="str">
        <f>DEC2BIN(INDEX(RAM!A:A,A159+1),8)</f>
        <v>00000000</v>
      </c>
      <c r="E159" s="35">
        <f>INDEX(RAM!A:A,A159+1)</f>
        <v>0</v>
      </c>
      <c r="F159" s="35" t="str">
        <f>IF(A159&lt;128,"Codigo","Datos")</f>
        <v>Datos</v>
      </c>
    </row>
    <row r="160" spans="1:6" x14ac:dyDescent="0.3">
      <c r="A160" s="35">
        <v>158</v>
      </c>
      <c r="B160" s="35" t="str">
        <f>DEC2HEX(A160,2)&amp;"h"</f>
        <v>9Eh</v>
      </c>
      <c r="C160" s="35" t="str">
        <f>DEC2HEX(INDEX(RAM!A:A,A160+1),2)</f>
        <v>00</v>
      </c>
      <c r="D160" s="35" t="str">
        <f>DEC2BIN(INDEX(RAM!A:A,A160+1),8)</f>
        <v>00000000</v>
      </c>
      <c r="E160" s="35">
        <f>INDEX(RAM!A:A,A160+1)</f>
        <v>0</v>
      </c>
      <c r="F160" s="35" t="str">
        <f>IF(A160&lt;128,"Codigo","Datos")</f>
        <v>Datos</v>
      </c>
    </row>
    <row r="161" spans="1:6" x14ac:dyDescent="0.3">
      <c r="A161" s="35">
        <v>159</v>
      </c>
      <c r="B161" s="35" t="str">
        <f>DEC2HEX(A161,2)&amp;"h"</f>
        <v>9Fh</v>
      </c>
      <c r="C161" s="35" t="str">
        <f>DEC2HEX(INDEX(RAM!A:A,A161+1),2)</f>
        <v>00</v>
      </c>
      <c r="D161" s="35" t="str">
        <f>DEC2BIN(INDEX(RAM!A:A,A161+1),8)</f>
        <v>00000000</v>
      </c>
      <c r="E161" s="35">
        <f>INDEX(RAM!A:A,A161+1)</f>
        <v>0</v>
      </c>
      <c r="F161" s="35" t="str">
        <f>IF(A161&lt;128,"Codigo","Datos")</f>
        <v>Datos</v>
      </c>
    </row>
    <row r="162" spans="1:6" x14ac:dyDescent="0.3">
      <c r="A162" s="35">
        <v>160</v>
      </c>
      <c r="B162" s="35" t="str">
        <f>DEC2HEX(A162,2)&amp;"h"</f>
        <v>A0h</v>
      </c>
      <c r="C162" s="35" t="str">
        <f>DEC2HEX(INDEX(RAM!A:A,A162+1),2)</f>
        <v>00</v>
      </c>
      <c r="D162" s="35" t="str">
        <f>DEC2BIN(INDEX(RAM!A:A,A162+1),8)</f>
        <v>00000000</v>
      </c>
      <c r="E162" s="35">
        <f>INDEX(RAM!A:A,A162+1)</f>
        <v>0</v>
      </c>
      <c r="F162" s="35" t="str">
        <f>IF(A162&lt;128,"Codigo","Datos")</f>
        <v>Datos</v>
      </c>
    </row>
    <row r="163" spans="1:6" x14ac:dyDescent="0.3">
      <c r="A163" s="35">
        <v>161</v>
      </c>
      <c r="B163" s="35" t="str">
        <f>DEC2HEX(A163,2)&amp;"h"</f>
        <v>A1h</v>
      </c>
      <c r="C163" s="35" t="str">
        <f>DEC2HEX(INDEX(RAM!A:A,A163+1),2)</f>
        <v>00</v>
      </c>
      <c r="D163" s="35" t="str">
        <f>DEC2BIN(INDEX(RAM!A:A,A163+1),8)</f>
        <v>00000000</v>
      </c>
      <c r="E163" s="35">
        <f>INDEX(RAM!A:A,A163+1)</f>
        <v>0</v>
      </c>
      <c r="F163" s="35" t="str">
        <f>IF(A163&lt;128,"Codigo","Datos")</f>
        <v>Datos</v>
      </c>
    </row>
    <row r="164" spans="1:6" x14ac:dyDescent="0.3">
      <c r="A164" s="35">
        <v>162</v>
      </c>
      <c r="B164" s="35" t="str">
        <f>DEC2HEX(A164,2)&amp;"h"</f>
        <v>A2h</v>
      </c>
      <c r="C164" s="35" t="str">
        <f>DEC2HEX(INDEX(RAM!A:A,A164+1),2)</f>
        <v>00</v>
      </c>
      <c r="D164" s="35" t="str">
        <f>DEC2BIN(INDEX(RAM!A:A,A164+1),8)</f>
        <v>00000000</v>
      </c>
      <c r="E164" s="35">
        <f>INDEX(RAM!A:A,A164+1)</f>
        <v>0</v>
      </c>
      <c r="F164" s="35" t="str">
        <f>IF(A164&lt;128,"Codigo","Datos")</f>
        <v>Datos</v>
      </c>
    </row>
    <row r="165" spans="1:6" x14ac:dyDescent="0.3">
      <c r="A165" s="35">
        <v>163</v>
      </c>
      <c r="B165" s="35" t="str">
        <f>DEC2HEX(A165,2)&amp;"h"</f>
        <v>A3h</v>
      </c>
      <c r="C165" s="35" t="str">
        <f>DEC2HEX(INDEX(RAM!A:A,A165+1),2)</f>
        <v>00</v>
      </c>
      <c r="D165" s="35" t="str">
        <f>DEC2BIN(INDEX(RAM!A:A,A165+1),8)</f>
        <v>00000000</v>
      </c>
      <c r="E165" s="35">
        <f>INDEX(RAM!A:A,A165+1)</f>
        <v>0</v>
      </c>
      <c r="F165" s="35" t="str">
        <f>IF(A165&lt;128,"Codigo","Datos")</f>
        <v>Datos</v>
      </c>
    </row>
    <row r="166" spans="1:6" x14ac:dyDescent="0.3">
      <c r="A166" s="35">
        <v>164</v>
      </c>
      <c r="B166" s="35" t="str">
        <f>DEC2HEX(A166,2)&amp;"h"</f>
        <v>A4h</v>
      </c>
      <c r="C166" s="35" t="str">
        <f>DEC2HEX(INDEX(RAM!A:A,A166+1),2)</f>
        <v>00</v>
      </c>
      <c r="D166" s="35" t="str">
        <f>DEC2BIN(INDEX(RAM!A:A,A166+1),8)</f>
        <v>00000000</v>
      </c>
      <c r="E166" s="35">
        <f>INDEX(RAM!A:A,A166+1)</f>
        <v>0</v>
      </c>
      <c r="F166" s="35" t="str">
        <f>IF(A166&lt;128,"Codigo","Datos")</f>
        <v>Datos</v>
      </c>
    </row>
    <row r="167" spans="1:6" x14ac:dyDescent="0.3">
      <c r="A167" s="35">
        <v>165</v>
      </c>
      <c r="B167" s="35" t="str">
        <f>DEC2HEX(A167,2)&amp;"h"</f>
        <v>A5h</v>
      </c>
      <c r="C167" s="35" t="str">
        <f>DEC2HEX(INDEX(RAM!A:A,A167+1),2)</f>
        <v>00</v>
      </c>
      <c r="D167" s="35" t="str">
        <f>DEC2BIN(INDEX(RAM!A:A,A167+1),8)</f>
        <v>00000000</v>
      </c>
      <c r="E167" s="35">
        <f>INDEX(RAM!A:A,A167+1)</f>
        <v>0</v>
      </c>
      <c r="F167" s="35" t="str">
        <f>IF(A167&lt;128,"Codigo","Datos")</f>
        <v>Datos</v>
      </c>
    </row>
    <row r="168" spans="1:6" x14ac:dyDescent="0.3">
      <c r="A168" s="35">
        <v>166</v>
      </c>
      <c r="B168" s="35" t="str">
        <f>DEC2HEX(A168,2)&amp;"h"</f>
        <v>A6h</v>
      </c>
      <c r="C168" s="35" t="str">
        <f>DEC2HEX(INDEX(RAM!A:A,A168+1),2)</f>
        <v>00</v>
      </c>
      <c r="D168" s="35" t="str">
        <f>DEC2BIN(INDEX(RAM!A:A,A168+1),8)</f>
        <v>00000000</v>
      </c>
      <c r="E168" s="35">
        <f>INDEX(RAM!A:A,A168+1)</f>
        <v>0</v>
      </c>
      <c r="F168" s="35" t="str">
        <f>IF(A168&lt;128,"Codigo","Datos")</f>
        <v>Datos</v>
      </c>
    </row>
    <row r="169" spans="1:6" x14ac:dyDescent="0.3">
      <c r="A169" s="35">
        <v>167</v>
      </c>
      <c r="B169" s="35" t="str">
        <f>DEC2HEX(A169,2)&amp;"h"</f>
        <v>A7h</v>
      </c>
      <c r="C169" s="35" t="str">
        <f>DEC2HEX(INDEX(RAM!A:A,A169+1),2)</f>
        <v>00</v>
      </c>
      <c r="D169" s="35" t="str">
        <f>DEC2BIN(INDEX(RAM!A:A,A169+1),8)</f>
        <v>00000000</v>
      </c>
      <c r="E169" s="35">
        <f>INDEX(RAM!A:A,A169+1)</f>
        <v>0</v>
      </c>
      <c r="F169" s="35" t="str">
        <f>IF(A169&lt;128,"Codigo","Datos")</f>
        <v>Datos</v>
      </c>
    </row>
    <row r="170" spans="1:6" x14ac:dyDescent="0.3">
      <c r="A170" s="35">
        <v>168</v>
      </c>
      <c r="B170" s="35" t="str">
        <f>DEC2HEX(A170,2)&amp;"h"</f>
        <v>A8h</v>
      </c>
      <c r="C170" s="35" t="str">
        <f>DEC2HEX(INDEX(RAM!A:A,A170+1),2)</f>
        <v>00</v>
      </c>
      <c r="D170" s="35" t="str">
        <f>DEC2BIN(INDEX(RAM!A:A,A170+1),8)</f>
        <v>00000000</v>
      </c>
      <c r="E170" s="35">
        <f>INDEX(RAM!A:A,A170+1)</f>
        <v>0</v>
      </c>
      <c r="F170" s="35" t="str">
        <f>IF(A170&lt;128,"Codigo","Datos")</f>
        <v>Datos</v>
      </c>
    </row>
    <row r="171" spans="1:6" x14ac:dyDescent="0.3">
      <c r="A171" s="35">
        <v>169</v>
      </c>
      <c r="B171" s="35" t="str">
        <f>DEC2HEX(A171,2)&amp;"h"</f>
        <v>A9h</v>
      </c>
      <c r="C171" s="35" t="str">
        <f>DEC2HEX(INDEX(RAM!A:A,A171+1),2)</f>
        <v>00</v>
      </c>
      <c r="D171" s="35" t="str">
        <f>DEC2BIN(INDEX(RAM!A:A,A171+1),8)</f>
        <v>00000000</v>
      </c>
      <c r="E171" s="35">
        <f>INDEX(RAM!A:A,A171+1)</f>
        <v>0</v>
      </c>
      <c r="F171" s="35" t="str">
        <f>IF(A171&lt;128,"Codigo","Datos")</f>
        <v>Datos</v>
      </c>
    </row>
    <row r="172" spans="1:6" x14ac:dyDescent="0.3">
      <c r="A172" s="35">
        <v>170</v>
      </c>
      <c r="B172" s="35" t="str">
        <f>DEC2HEX(A172,2)&amp;"h"</f>
        <v>AAh</v>
      </c>
      <c r="C172" s="35" t="str">
        <f>DEC2HEX(INDEX(RAM!A:A,A172+1),2)</f>
        <v>00</v>
      </c>
      <c r="D172" s="35" t="str">
        <f>DEC2BIN(INDEX(RAM!A:A,A172+1),8)</f>
        <v>00000000</v>
      </c>
      <c r="E172" s="35">
        <f>INDEX(RAM!A:A,A172+1)</f>
        <v>0</v>
      </c>
      <c r="F172" s="35" t="str">
        <f>IF(A172&lt;128,"Codigo","Datos")</f>
        <v>Datos</v>
      </c>
    </row>
    <row r="173" spans="1:6" x14ac:dyDescent="0.3">
      <c r="A173" s="35">
        <v>171</v>
      </c>
      <c r="B173" s="35" t="str">
        <f>DEC2HEX(A173,2)&amp;"h"</f>
        <v>ABh</v>
      </c>
      <c r="C173" s="35" t="str">
        <f>DEC2HEX(INDEX(RAM!A:A,A173+1),2)</f>
        <v>00</v>
      </c>
      <c r="D173" s="35" t="str">
        <f>DEC2BIN(INDEX(RAM!A:A,A173+1),8)</f>
        <v>00000000</v>
      </c>
      <c r="E173" s="35">
        <f>INDEX(RAM!A:A,A173+1)</f>
        <v>0</v>
      </c>
      <c r="F173" s="35" t="str">
        <f>IF(A173&lt;128,"Codigo","Datos")</f>
        <v>Datos</v>
      </c>
    </row>
    <row r="174" spans="1:6" x14ac:dyDescent="0.3">
      <c r="A174" s="35">
        <v>172</v>
      </c>
      <c r="B174" s="35" t="str">
        <f>DEC2HEX(A174,2)&amp;"h"</f>
        <v>ACh</v>
      </c>
      <c r="C174" s="35" t="str">
        <f>DEC2HEX(INDEX(RAM!A:A,A174+1),2)</f>
        <v>00</v>
      </c>
      <c r="D174" s="35" t="str">
        <f>DEC2BIN(INDEX(RAM!A:A,A174+1),8)</f>
        <v>00000000</v>
      </c>
      <c r="E174" s="35">
        <f>INDEX(RAM!A:A,A174+1)</f>
        <v>0</v>
      </c>
      <c r="F174" s="35" t="str">
        <f>IF(A174&lt;128,"Codigo","Datos")</f>
        <v>Datos</v>
      </c>
    </row>
    <row r="175" spans="1:6" x14ac:dyDescent="0.3">
      <c r="A175" s="35">
        <v>173</v>
      </c>
      <c r="B175" s="35" t="str">
        <f>DEC2HEX(A175,2)&amp;"h"</f>
        <v>ADh</v>
      </c>
      <c r="C175" s="35" t="str">
        <f>DEC2HEX(INDEX(RAM!A:A,A175+1),2)</f>
        <v>00</v>
      </c>
      <c r="D175" s="35" t="str">
        <f>DEC2BIN(INDEX(RAM!A:A,A175+1),8)</f>
        <v>00000000</v>
      </c>
      <c r="E175" s="35">
        <f>INDEX(RAM!A:A,A175+1)</f>
        <v>0</v>
      </c>
      <c r="F175" s="35" t="str">
        <f>IF(A175&lt;128,"Codigo","Datos")</f>
        <v>Datos</v>
      </c>
    </row>
    <row r="176" spans="1:6" x14ac:dyDescent="0.3">
      <c r="A176" s="35">
        <v>174</v>
      </c>
      <c r="B176" s="35" t="str">
        <f>DEC2HEX(A176,2)&amp;"h"</f>
        <v>AEh</v>
      </c>
      <c r="C176" s="35" t="str">
        <f>DEC2HEX(INDEX(RAM!A:A,A176+1),2)</f>
        <v>00</v>
      </c>
      <c r="D176" s="35" t="str">
        <f>DEC2BIN(INDEX(RAM!A:A,A176+1),8)</f>
        <v>00000000</v>
      </c>
      <c r="E176" s="35">
        <f>INDEX(RAM!A:A,A176+1)</f>
        <v>0</v>
      </c>
      <c r="F176" s="35" t="str">
        <f>IF(A176&lt;128,"Codigo","Datos")</f>
        <v>Datos</v>
      </c>
    </row>
    <row r="177" spans="1:6" x14ac:dyDescent="0.3">
      <c r="A177" s="35">
        <v>175</v>
      </c>
      <c r="B177" s="35" t="str">
        <f>DEC2HEX(A177,2)&amp;"h"</f>
        <v>AFh</v>
      </c>
      <c r="C177" s="35" t="str">
        <f>DEC2HEX(INDEX(RAM!A:A,A177+1),2)</f>
        <v>00</v>
      </c>
      <c r="D177" s="35" t="str">
        <f>DEC2BIN(INDEX(RAM!A:A,A177+1),8)</f>
        <v>00000000</v>
      </c>
      <c r="E177" s="35">
        <f>INDEX(RAM!A:A,A177+1)</f>
        <v>0</v>
      </c>
      <c r="F177" s="35" t="str">
        <f>IF(A177&lt;128,"Codigo","Datos")</f>
        <v>Datos</v>
      </c>
    </row>
    <row r="178" spans="1:6" x14ac:dyDescent="0.3">
      <c r="A178" s="35">
        <v>176</v>
      </c>
      <c r="B178" s="35" t="str">
        <f>DEC2HEX(A178,2)&amp;"h"</f>
        <v>B0h</v>
      </c>
      <c r="C178" s="35" t="str">
        <f>DEC2HEX(INDEX(RAM!A:A,A178+1),2)</f>
        <v>00</v>
      </c>
      <c r="D178" s="35" t="str">
        <f>DEC2BIN(INDEX(RAM!A:A,A178+1),8)</f>
        <v>00000000</v>
      </c>
      <c r="E178" s="35">
        <f>INDEX(RAM!A:A,A178+1)</f>
        <v>0</v>
      </c>
      <c r="F178" s="35" t="str">
        <f>IF(A178&lt;128,"Codigo","Datos")</f>
        <v>Datos</v>
      </c>
    </row>
    <row r="179" spans="1:6" x14ac:dyDescent="0.3">
      <c r="A179" s="35">
        <v>177</v>
      </c>
      <c r="B179" s="35" t="str">
        <f>DEC2HEX(A179,2)&amp;"h"</f>
        <v>B1h</v>
      </c>
      <c r="C179" s="35" t="str">
        <f>DEC2HEX(INDEX(RAM!A:A,A179+1),2)</f>
        <v>00</v>
      </c>
      <c r="D179" s="35" t="str">
        <f>DEC2BIN(INDEX(RAM!A:A,A179+1),8)</f>
        <v>00000000</v>
      </c>
      <c r="E179" s="35">
        <f>INDEX(RAM!A:A,A179+1)</f>
        <v>0</v>
      </c>
      <c r="F179" s="35" t="str">
        <f>IF(A179&lt;128,"Codigo","Datos")</f>
        <v>Datos</v>
      </c>
    </row>
    <row r="180" spans="1:6" x14ac:dyDescent="0.3">
      <c r="A180" s="35">
        <v>178</v>
      </c>
      <c r="B180" s="35" t="str">
        <f>DEC2HEX(A180,2)&amp;"h"</f>
        <v>B2h</v>
      </c>
      <c r="C180" s="35" t="str">
        <f>DEC2HEX(INDEX(RAM!A:A,A180+1),2)</f>
        <v>00</v>
      </c>
      <c r="D180" s="35" t="str">
        <f>DEC2BIN(INDEX(RAM!A:A,A180+1),8)</f>
        <v>00000000</v>
      </c>
      <c r="E180" s="35">
        <f>INDEX(RAM!A:A,A180+1)</f>
        <v>0</v>
      </c>
      <c r="F180" s="35" t="str">
        <f>IF(A180&lt;128,"Codigo","Datos")</f>
        <v>Datos</v>
      </c>
    </row>
    <row r="181" spans="1:6" x14ac:dyDescent="0.3">
      <c r="A181" s="35">
        <v>179</v>
      </c>
      <c r="B181" s="35" t="str">
        <f>DEC2HEX(A181,2)&amp;"h"</f>
        <v>B3h</v>
      </c>
      <c r="C181" s="35" t="str">
        <f>DEC2HEX(INDEX(RAM!A:A,A181+1),2)</f>
        <v>00</v>
      </c>
      <c r="D181" s="35" t="str">
        <f>DEC2BIN(INDEX(RAM!A:A,A181+1),8)</f>
        <v>00000000</v>
      </c>
      <c r="E181" s="35">
        <f>INDEX(RAM!A:A,A181+1)</f>
        <v>0</v>
      </c>
      <c r="F181" s="35" t="str">
        <f>IF(A181&lt;128,"Codigo","Datos")</f>
        <v>Datos</v>
      </c>
    </row>
    <row r="182" spans="1:6" x14ac:dyDescent="0.3">
      <c r="A182" s="35">
        <v>180</v>
      </c>
      <c r="B182" s="35" t="str">
        <f>DEC2HEX(A182,2)&amp;"h"</f>
        <v>B4h</v>
      </c>
      <c r="C182" s="35" t="str">
        <f>DEC2HEX(INDEX(RAM!A:A,A182+1),2)</f>
        <v>00</v>
      </c>
      <c r="D182" s="35" t="str">
        <f>DEC2BIN(INDEX(RAM!A:A,A182+1),8)</f>
        <v>00000000</v>
      </c>
      <c r="E182" s="35">
        <f>INDEX(RAM!A:A,A182+1)</f>
        <v>0</v>
      </c>
      <c r="F182" s="35" t="str">
        <f>IF(A182&lt;128,"Codigo","Datos")</f>
        <v>Datos</v>
      </c>
    </row>
    <row r="183" spans="1:6" x14ac:dyDescent="0.3">
      <c r="A183" s="35">
        <v>181</v>
      </c>
      <c r="B183" s="35" t="str">
        <f>DEC2HEX(A183,2)&amp;"h"</f>
        <v>B5h</v>
      </c>
      <c r="C183" s="35" t="str">
        <f>DEC2HEX(INDEX(RAM!A:A,A183+1),2)</f>
        <v>00</v>
      </c>
      <c r="D183" s="35" t="str">
        <f>DEC2BIN(INDEX(RAM!A:A,A183+1),8)</f>
        <v>00000000</v>
      </c>
      <c r="E183" s="35">
        <f>INDEX(RAM!A:A,A183+1)</f>
        <v>0</v>
      </c>
      <c r="F183" s="35" t="str">
        <f>IF(A183&lt;128,"Codigo","Datos")</f>
        <v>Datos</v>
      </c>
    </row>
    <row r="184" spans="1:6" x14ac:dyDescent="0.3">
      <c r="A184" s="35">
        <v>182</v>
      </c>
      <c r="B184" s="35" t="str">
        <f>DEC2HEX(A184,2)&amp;"h"</f>
        <v>B6h</v>
      </c>
      <c r="C184" s="35" t="str">
        <f>DEC2HEX(INDEX(RAM!A:A,A184+1),2)</f>
        <v>00</v>
      </c>
      <c r="D184" s="35" t="str">
        <f>DEC2BIN(INDEX(RAM!A:A,A184+1),8)</f>
        <v>00000000</v>
      </c>
      <c r="E184" s="35">
        <f>INDEX(RAM!A:A,A184+1)</f>
        <v>0</v>
      </c>
      <c r="F184" s="35" t="str">
        <f>IF(A184&lt;128,"Codigo","Datos")</f>
        <v>Datos</v>
      </c>
    </row>
    <row r="185" spans="1:6" x14ac:dyDescent="0.3">
      <c r="A185" s="35">
        <v>183</v>
      </c>
      <c r="B185" s="35" t="str">
        <f>DEC2HEX(A185,2)&amp;"h"</f>
        <v>B7h</v>
      </c>
      <c r="C185" s="35" t="str">
        <f>DEC2HEX(INDEX(RAM!A:A,A185+1),2)</f>
        <v>00</v>
      </c>
      <c r="D185" s="35" t="str">
        <f>DEC2BIN(INDEX(RAM!A:A,A185+1),8)</f>
        <v>00000000</v>
      </c>
      <c r="E185" s="35">
        <f>INDEX(RAM!A:A,A185+1)</f>
        <v>0</v>
      </c>
      <c r="F185" s="35" t="str">
        <f>IF(A185&lt;128,"Codigo","Datos")</f>
        <v>Datos</v>
      </c>
    </row>
    <row r="186" spans="1:6" x14ac:dyDescent="0.3">
      <c r="A186" s="35">
        <v>184</v>
      </c>
      <c r="B186" s="35" t="str">
        <f>DEC2HEX(A186,2)&amp;"h"</f>
        <v>B8h</v>
      </c>
      <c r="C186" s="35" t="str">
        <f>DEC2HEX(INDEX(RAM!A:A,A186+1),2)</f>
        <v>00</v>
      </c>
      <c r="D186" s="35" t="str">
        <f>DEC2BIN(INDEX(RAM!A:A,A186+1),8)</f>
        <v>00000000</v>
      </c>
      <c r="E186" s="35">
        <f>INDEX(RAM!A:A,A186+1)</f>
        <v>0</v>
      </c>
      <c r="F186" s="35" t="str">
        <f>IF(A186&lt;128,"Codigo","Datos")</f>
        <v>Datos</v>
      </c>
    </row>
    <row r="187" spans="1:6" x14ac:dyDescent="0.3">
      <c r="A187" s="35">
        <v>185</v>
      </c>
      <c r="B187" s="35" t="str">
        <f>DEC2HEX(A187,2)&amp;"h"</f>
        <v>B9h</v>
      </c>
      <c r="C187" s="35" t="str">
        <f>DEC2HEX(INDEX(RAM!A:A,A187+1),2)</f>
        <v>00</v>
      </c>
      <c r="D187" s="35" t="str">
        <f>DEC2BIN(INDEX(RAM!A:A,A187+1),8)</f>
        <v>00000000</v>
      </c>
      <c r="E187" s="35">
        <f>INDEX(RAM!A:A,A187+1)</f>
        <v>0</v>
      </c>
      <c r="F187" s="35" t="str">
        <f>IF(A187&lt;128,"Codigo","Datos")</f>
        <v>Datos</v>
      </c>
    </row>
    <row r="188" spans="1:6" x14ac:dyDescent="0.3">
      <c r="A188" s="35">
        <v>186</v>
      </c>
      <c r="B188" s="35" t="str">
        <f>DEC2HEX(A188,2)&amp;"h"</f>
        <v>BAh</v>
      </c>
      <c r="C188" s="35" t="str">
        <f>DEC2HEX(INDEX(RAM!A:A,A188+1),2)</f>
        <v>00</v>
      </c>
      <c r="D188" s="35" t="str">
        <f>DEC2BIN(INDEX(RAM!A:A,A188+1),8)</f>
        <v>00000000</v>
      </c>
      <c r="E188" s="35">
        <f>INDEX(RAM!A:A,A188+1)</f>
        <v>0</v>
      </c>
      <c r="F188" s="35" t="str">
        <f>IF(A188&lt;128,"Codigo","Datos")</f>
        <v>Datos</v>
      </c>
    </row>
    <row r="189" spans="1:6" x14ac:dyDescent="0.3">
      <c r="A189" s="35">
        <v>187</v>
      </c>
      <c r="B189" s="35" t="str">
        <f>DEC2HEX(A189,2)&amp;"h"</f>
        <v>BBh</v>
      </c>
      <c r="C189" s="35" t="str">
        <f>DEC2HEX(INDEX(RAM!A:A,A189+1),2)</f>
        <v>00</v>
      </c>
      <c r="D189" s="35" t="str">
        <f>DEC2BIN(INDEX(RAM!A:A,A189+1),8)</f>
        <v>00000000</v>
      </c>
      <c r="E189" s="35">
        <f>INDEX(RAM!A:A,A189+1)</f>
        <v>0</v>
      </c>
      <c r="F189" s="35" t="str">
        <f>IF(A189&lt;128,"Codigo","Datos")</f>
        <v>Datos</v>
      </c>
    </row>
    <row r="190" spans="1:6" x14ac:dyDescent="0.3">
      <c r="A190" s="35">
        <v>188</v>
      </c>
      <c r="B190" s="35" t="str">
        <f>DEC2HEX(A190,2)&amp;"h"</f>
        <v>BCh</v>
      </c>
      <c r="C190" s="35" t="str">
        <f>DEC2HEX(INDEX(RAM!A:A,A190+1),2)</f>
        <v>00</v>
      </c>
      <c r="D190" s="35" t="str">
        <f>DEC2BIN(INDEX(RAM!A:A,A190+1),8)</f>
        <v>00000000</v>
      </c>
      <c r="E190" s="35">
        <f>INDEX(RAM!A:A,A190+1)</f>
        <v>0</v>
      </c>
      <c r="F190" s="35" t="str">
        <f>IF(A190&lt;128,"Codigo","Datos")</f>
        <v>Datos</v>
      </c>
    </row>
    <row r="191" spans="1:6" x14ac:dyDescent="0.3">
      <c r="A191" s="35">
        <v>189</v>
      </c>
      <c r="B191" s="35" t="str">
        <f>DEC2HEX(A191,2)&amp;"h"</f>
        <v>BDh</v>
      </c>
      <c r="C191" s="35" t="str">
        <f>DEC2HEX(INDEX(RAM!A:A,A191+1),2)</f>
        <v>00</v>
      </c>
      <c r="D191" s="35" t="str">
        <f>DEC2BIN(INDEX(RAM!A:A,A191+1),8)</f>
        <v>00000000</v>
      </c>
      <c r="E191" s="35">
        <f>INDEX(RAM!A:A,A191+1)</f>
        <v>0</v>
      </c>
      <c r="F191" s="35" t="str">
        <f>IF(A191&lt;128,"Codigo","Datos")</f>
        <v>Datos</v>
      </c>
    </row>
    <row r="192" spans="1:6" x14ac:dyDescent="0.3">
      <c r="A192" s="35">
        <v>190</v>
      </c>
      <c r="B192" s="35" t="str">
        <f>DEC2HEX(A192,2)&amp;"h"</f>
        <v>BEh</v>
      </c>
      <c r="C192" s="35" t="str">
        <f>DEC2HEX(INDEX(RAM!A:A,A192+1),2)</f>
        <v>00</v>
      </c>
      <c r="D192" s="35" t="str">
        <f>DEC2BIN(INDEX(RAM!A:A,A192+1),8)</f>
        <v>00000000</v>
      </c>
      <c r="E192" s="35">
        <f>INDEX(RAM!A:A,A192+1)</f>
        <v>0</v>
      </c>
      <c r="F192" s="35" t="str">
        <f>IF(A192&lt;128,"Codigo","Datos")</f>
        <v>Datos</v>
      </c>
    </row>
    <row r="193" spans="1:6" x14ac:dyDescent="0.3">
      <c r="A193" s="35">
        <v>191</v>
      </c>
      <c r="B193" s="35" t="str">
        <f>DEC2HEX(A193,2)&amp;"h"</f>
        <v>BFh</v>
      </c>
      <c r="C193" s="35" t="str">
        <f>DEC2HEX(INDEX(RAM!A:A,A193+1),2)</f>
        <v>00</v>
      </c>
      <c r="D193" s="35" t="str">
        <f>DEC2BIN(INDEX(RAM!A:A,A193+1),8)</f>
        <v>00000000</v>
      </c>
      <c r="E193" s="35">
        <f>INDEX(RAM!A:A,A193+1)</f>
        <v>0</v>
      </c>
      <c r="F193" s="35" t="str">
        <f>IF(A193&lt;128,"Codigo","Datos")</f>
        <v>Datos</v>
      </c>
    </row>
    <row r="194" spans="1:6" x14ac:dyDescent="0.3">
      <c r="A194" s="35">
        <v>192</v>
      </c>
      <c r="B194" s="35" t="str">
        <f>DEC2HEX(A194,2)&amp;"h"</f>
        <v>C0h</v>
      </c>
      <c r="C194" s="35" t="str">
        <f>DEC2HEX(INDEX(RAM!A:A,A194+1),2)</f>
        <v>00</v>
      </c>
      <c r="D194" s="35" t="str">
        <f>DEC2BIN(INDEX(RAM!A:A,A194+1),8)</f>
        <v>00000000</v>
      </c>
      <c r="E194" s="35">
        <f>INDEX(RAM!A:A,A194+1)</f>
        <v>0</v>
      </c>
      <c r="F194" s="35" t="str">
        <f>IF(A194&lt;128,"Codigo","Datos")</f>
        <v>Datos</v>
      </c>
    </row>
    <row r="195" spans="1:6" x14ac:dyDescent="0.3">
      <c r="A195" s="35">
        <v>193</v>
      </c>
      <c r="B195" s="35" t="str">
        <f>DEC2HEX(A195,2)&amp;"h"</f>
        <v>C1h</v>
      </c>
      <c r="C195" s="35" t="str">
        <f>DEC2HEX(INDEX(RAM!A:A,A195+1),2)</f>
        <v>00</v>
      </c>
      <c r="D195" s="35" t="str">
        <f>DEC2BIN(INDEX(RAM!A:A,A195+1),8)</f>
        <v>00000000</v>
      </c>
      <c r="E195" s="35">
        <f>INDEX(RAM!A:A,A195+1)</f>
        <v>0</v>
      </c>
      <c r="F195" s="35" t="str">
        <f>IF(A195&lt;128,"Codigo","Datos")</f>
        <v>Datos</v>
      </c>
    </row>
    <row r="196" spans="1:6" x14ac:dyDescent="0.3">
      <c r="A196" s="35">
        <v>194</v>
      </c>
      <c r="B196" s="35" t="str">
        <f>DEC2HEX(A196,2)&amp;"h"</f>
        <v>C2h</v>
      </c>
      <c r="C196" s="35" t="str">
        <f>DEC2HEX(INDEX(RAM!A:A,A196+1),2)</f>
        <v>00</v>
      </c>
      <c r="D196" s="35" t="str">
        <f>DEC2BIN(INDEX(RAM!A:A,A196+1),8)</f>
        <v>00000000</v>
      </c>
      <c r="E196" s="35">
        <f>INDEX(RAM!A:A,A196+1)</f>
        <v>0</v>
      </c>
      <c r="F196" s="35" t="str">
        <f>IF(A196&lt;128,"Codigo","Datos")</f>
        <v>Datos</v>
      </c>
    </row>
    <row r="197" spans="1:6" x14ac:dyDescent="0.3">
      <c r="A197" s="35">
        <v>195</v>
      </c>
      <c r="B197" s="35" t="str">
        <f>DEC2HEX(A197,2)&amp;"h"</f>
        <v>C3h</v>
      </c>
      <c r="C197" s="35" t="str">
        <f>DEC2HEX(INDEX(RAM!A:A,A197+1),2)</f>
        <v>00</v>
      </c>
      <c r="D197" s="35" t="str">
        <f>DEC2BIN(INDEX(RAM!A:A,A197+1),8)</f>
        <v>00000000</v>
      </c>
      <c r="E197" s="35">
        <f>INDEX(RAM!A:A,A197+1)</f>
        <v>0</v>
      </c>
      <c r="F197" s="35" t="str">
        <f>IF(A197&lt;128,"Codigo","Datos")</f>
        <v>Datos</v>
      </c>
    </row>
    <row r="198" spans="1:6" x14ac:dyDescent="0.3">
      <c r="A198" s="35">
        <v>196</v>
      </c>
      <c r="B198" s="35" t="str">
        <f>DEC2HEX(A198,2)&amp;"h"</f>
        <v>C4h</v>
      </c>
      <c r="C198" s="35" t="str">
        <f>DEC2HEX(INDEX(RAM!A:A,A198+1),2)</f>
        <v>00</v>
      </c>
      <c r="D198" s="35" t="str">
        <f>DEC2BIN(INDEX(RAM!A:A,A198+1),8)</f>
        <v>00000000</v>
      </c>
      <c r="E198" s="35">
        <f>INDEX(RAM!A:A,A198+1)</f>
        <v>0</v>
      </c>
      <c r="F198" s="35" t="str">
        <f>IF(A198&lt;128,"Codigo","Datos")</f>
        <v>Datos</v>
      </c>
    </row>
    <row r="199" spans="1:6" x14ac:dyDescent="0.3">
      <c r="A199" s="35">
        <v>197</v>
      </c>
      <c r="B199" s="35" t="str">
        <f>DEC2HEX(A199,2)&amp;"h"</f>
        <v>C5h</v>
      </c>
      <c r="C199" s="35" t="str">
        <f>DEC2HEX(INDEX(RAM!A:A,A199+1),2)</f>
        <v>00</v>
      </c>
      <c r="D199" s="35" t="str">
        <f>DEC2BIN(INDEX(RAM!A:A,A199+1),8)</f>
        <v>00000000</v>
      </c>
      <c r="E199" s="35">
        <f>INDEX(RAM!A:A,A199+1)</f>
        <v>0</v>
      </c>
      <c r="F199" s="35" t="str">
        <f>IF(A199&lt;128,"Codigo","Datos")</f>
        <v>Datos</v>
      </c>
    </row>
    <row r="200" spans="1:6" x14ac:dyDescent="0.3">
      <c r="A200" s="35">
        <v>198</v>
      </c>
      <c r="B200" s="35" t="str">
        <f>DEC2HEX(A200,2)&amp;"h"</f>
        <v>C6h</v>
      </c>
      <c r="C200" s="35" t="str">
        <f>DEC2HEX(INDEX(RAM!A:A,A200+1),2)</f>
        <v>00</v>
      </c>
      <c r="D200" s="35" t="str">
        <f>DEC2BIN(INDEX(RAM!A:A,A200+1),8)</f>
        <v>00000000</v>
      </c>
      <c r="E200" s="35">
        <f>INDEX(RAM!A:A,A200+1)</f>
        <v>0</v>
      </c>
      <c r="F200" s="35" t="str">
        <f>IF(A200&lt;128,"Codigo","Datos")</f>
        <v>Datos</v>
      </c>
    </row>
    <row r="201" spans="1:6" x14ac:dyDescent="0.3">
      <c r="A201" s="35">
        <v>199</v>
      </c>
      <c r="B201" s="35" t="str">
        <f>DEC2HEX(A201,2)&amp;"h"</f>
        <v>C7h</v>
      </c>
      <c r="C201" s="35" t="str">
        <f>DEC2HEX(INDEX(RAM!A:A,A201+1),2)</f>
        <v>00</v>
      </c>
      <c r="D201" s="35" t="str">
        <f>DEC2BIN(INDEX(RAM!A:A,A201+1),8)</f>
        <v>00000000</v>
      </c>
      <c r="E201" s="35">
        <f>INDEX(RAM!A:A,A201+1)</f>
        <v>0</v>
      </c>
      <c r="F201" s="35" t="str">
        <f>IF(A201&lt;128,"Codigo","Datos")</f>
        <v>Datos</v>
      </c>
    </row>
    <row r="202" spans="1:6" x14ac:dyDescent="0.3">
      <c r="A202" s="35">
        <v>200</v>
      </c>
      <c r="B202" s="35" t="str">
        <f>DEC2HEX(A202,2)&amp;"h"</f>
        <v>C8h</v>
      </c>
      <c r="C202" s="35" t="str">
        <f>DEC2HEX(INDEX(RAM!A:A,A202+1),2)</f>
        <v>00</v>
      </c>
      <c r="D202" s="35" t="str">
        <f>DEC2BIN(INDEX(RAM!A:A,A202+1),8)</f>
        <v>00000000</v>
      </c>
      <c r="E202" s="35">
        <f>INDEX(RAM!A:A,A202+1)</f>
        <v>0</v>
      </c>
      <c r="F202" s="35" t="str">
        <f>IF(A202&lt;128,"Codigo","Datos")</f>
        <v>Datos</v>
      </c>
    </row>
    <row r="203" spans="1:6" x14ac:dyDescent="0.3">
      <c r="A203" s="35">
        <v>201</v>
      </c>
      <c r="B203" s="35" t="str">
        <f>DEC2HEX(A203,2)&amp;"h"</f>
        <v>C9h</v>
      </c>
      <c r="C203" s="35" t="str">
        <f>DEC2HEX(INDEX(RAM!A:A,A203+1),2)</f>
        <v>00</v>
      </c>
      <c r="D203" s="35" t="str">
        <f>DEC2BIN(INDEX(RAM!A:A,A203+1),8)</f>
        <v>00000000</v>
      </c>
      <c r="E203" s="35">
        <f>INDEX(RAM!A:A,A203+1)</f>
        <v>0</v>
      </c>
      <c r="F203" s="35" t="str">
        <f>IF(A203&lt;128,"Codigo","Datos")</f>
        <v>Datos</v>
      </c>
    </row>
    <row r="204" spans="1:6" x14ac:dyDescent="0.3">
      <c r="A204" s="35">
        <v>202</v>
      </c>
      <c r="B204" s="35" t="str">
        <f>DEC2HEX(A204,2)&amp;"h"</f>
        <v>CAh</v>
      </c>
      <c r="C204" s="35" t="str">
        <f>DEC2HEX(INDEX(RAM!A:A,A204+1),2)</f>
        <v>00</v>
      </c>
      <c r="D204" s="35" t="str">
        <f>DEC2BIN(INDEX(RAM!A:A,A204+1),8)</f>
        <v>00000000</v>
      </c>
      <c r="E204" s="35">
        <f>INDEX(RAM!A:A,A204+1)</f>
        <v>0</v>
      </c>
      <c r="F204" s="35" t="str">
        <f>IF(A204&lt;128,"Codigo","Datos")</f>
        <v>Datos</v>
      </c>
    </row>
    <row r="205" spans="1:6" x14ac:dyDescent="0.3">
      <c r="A205" s="35">
        <v>203</v>
      </c>
      <c r="B205" s="35" t="str">
        <f>DEC2HEX(A205,2)&amp;"h"</f>
        <v>CBh</v>
      </c>
      <c r="C205" s="35" t="str">
        <f>DEC2HEX(INDEX(RAM!A:A,A205+1),2)</f>
        <v>00</v>
      </c>
      <c r="D205" s="35" t="str">
        <f>DEC2BIN(INDEX(RAM!A:A,A205+1),8)</f>
        <v>00000000</v>
      </c>
      <c r="E205" s="35">
        <f>INDEX(RAM!A:A,A205+1)</f>
        <v>0</v>
      </c>
      <c r="F205" s="35" t="str">
        <f>IF(A205&lt;128,"Codigo","Datos")</f>
        <v>Datos</v>
      </c>
    </row>
    <row r="206" spans="1:6" x14ac:dyDescent="0.3">
      <c r="A206" s="35">
        <v>204</v>
      </c>
      <c r="B206" s="35" t="str">
        <f>DEC2HEX(A206,2)&amp;"h"</f>
        <v>CCh</v>
      </c>
      <c r="C206" s="35" t="str">
        <f>DEC2HEX(INDEX(RAM!A:A,A206+1),2)</f>
        <v>00</v>
      </c>
      <c r="D206" s="35" t="str">
        <f>DEC2BIN(INDEX(RAM!A:A,A206+1),8)</f>
        <v>00000000</v>
      </c>
      <c r="E206" s="35">
        <f>INDEX(RAM!A:A,A206+1)</f>
        <v>0</v>
      </c>
      <c r="F206" s="35" t="str">
        <f>IF(A206&lt;128,"Codigo","Datos")</f>
        <v>Datos</v>
      </c>
    </row>
    <row r="207" spans="1:6" x14ac:dyDescent="0.3">
      <c r="A207" s="35">
        <v>205</v>
      </c>
      <c r="B207" s="35" t="str">
        <f>DEC2HEX(A207,2)&amp;"h"</f>
        <v>CDh</v>
      </c>
      <c r="C207" s="35" t="str">
        <f>DEC2HEX(INDEX(RAM!A:A,A207+1),2)</f>
        <v>00</v>
      </c>
      <c r="D207" s="35" t="str">
        <f>DEC2BIN(INDEX(RAM!A:A,A207+1),8)</f>
        <v>00000000</v>
      </c>
      <c r="E207" s="35">
        <f>INDEX(RAM!A:A,A207+1)</f>
        <v>0</v>
      </c>
      <c r="F207" s="35" t="str">
        <f>IF(A207&lt;128,"Codigo","Datos")</f>
        <v>Datos</v>
      </c>
    </row>
    <row r="208" spans="1:6" x14ac:dyDescent="0.3">
      <c r="A208" s="35">
        <v>206</v>
      </c>
      <c r="B208" s="35" t="str">
        <f>DEC2HEX(A208,2)&amp;"h"</f>
        <v>CEh</v>
      </c>
      <c r="C208" s="35" t="str">
        <f>DEC2HEX(INDEX(RAM!A:A,A208+1),2)</f>
        <v>00</v>
      </c>
      <c r="D208" s="35" t="str">
        <f>DEC2BIN(INDEX(RAM!A:A,A208+1),8)</f>
        <v>00000000</v>
      </c>
      <c r="E208" s="35">
        <f>INDEX(RAM!A:A,A208+1)</f>
        <v>0</v>
      </c>
      <c r="F208" s="35" t="str">
        <f>IF(A208&lt;128,"Codigo","Datos")</f>
        <v>Datos</v>
      </c>
    </row>
    <row r="209" spans="1:6" x14ac:dyDescent="0.3">
      <c r="A209" s="35">
        <v>207</v>
      </c>
      <c r="B209" s="35" t="str">
        <f>DEC2HEX(A209,2)&amp;"h"</f>
        <v>CFh</v>
      </c>
      <c r="C209" s="35" t="str">
        <f>DEC2HEX(INDEX(RAM!A:A,A209+1),2)</f>
        <v>00</v>
      </c>
      <c r="D209" s="35" t="str">
        <f>DEC2BIN(INDEX(RAM!A:A,A209+1),8)</f>
        <v>00000000</v>
      </c>
      <c r="E209" s="35">
        <f>INDEX(RAM!A:A,A209+1)</f>
        <v>0</v>
      </c>
      <c r="F209" s="35" t="str">
        <f>IF(A209&lt;128,"Codigo","Datos")</f>
        <v>Datos</v>
      </c>
    </row>
    <row r="210" spans="1:6" x14ac:dyDescent="0.3">
      <c r="A210" s="35">
        <v>208</v>
      </c>
      <c r="B210" s="35" t="str">
        <f>DEC2HEX(A210,2)&amp;"h"</f>
        <v>D0h</v>
      </c>
      <c r="C210" s="35" t="str">
        <f>DEC2HEX(INDEX(RAM!A:A,A210+1),2)</f>
        <v>00</v>
      </c>
      <c r="D210" s="35" t="str">
        <f>DEC2BIN(INDEX(RAM!A:A,A210+1),8)</f>
        <v>00000000</v>
      </c>
      <c r="E210" s="35">
        <f>INDEX(RAM!A:A,A210+1)</f>
        <v>0</v>
      </c>
      <c r="F210" s="35" t="str">
        <f>IF(A210&lt;128,"Codigo","Datos")</f>
        <v>Datos</v>
      </c>
    </row>
    <row r="211" spans="1:6" x14ac:dyDescent="0.3">
      <c r="A211" s="35">
        <v>209</v>
      </c>
      <c r="B211" s="35" t="str">
        <f>DEC2HEX(A211,2)&amp;"h"</f>
        <v>D1h</v>
      </c>
      <c r="C211" s="35" t="str">
        <f>DEC2HEX(INDEX(RAM!A:A,A211+1),2)</f>
        <v>00</v>
      </c>
      <c r="D211" s="35" t="str">
        <f>DEC2BIN(INDEX(RAM!A:A,A211+1),8)</f>
        <v>00000000</v>
      </c>
      <c r="E211" s="35">
        <f>INDEX(RAM!A:A,A211+1)</f>
        <v>0</v>
      </c>
      <c r="F211" s="35" t="str">
        <f>IF(A211&lt;128,"Codigo","Datos")</f>
        <v>Datos</v>
      </c>
    </row>
    <row r="212" spans="1:6" x14ac:dyDescent="0.3">
      <c r="A212" s="35">
        <v>210</v>
      </c>
      <c r="B212" s="35" t="str">
        <f>DEC2HEX(A212,2)&amp;"h"</f>
        <v>D2h</v>
      </c>
      <c r="C212" s="35" t="str">
        <f>DEC2HEX(INDEX(RAM!A:A,A212+1),2)</f>
        <v>00</v>
      </c>
      <c r="D212" s="35" t="str">
        <f>DEC2BIN(INDEX(RAM!A:A,A212+1),8)</f>
        <v>00000000</v>
      </c>
      <c r="E212" s="35">
        <f>INDEX(RAM!A:A,A212+1)</f>
        <v>0</v>
      </c>
      <c r="F212" s="35" t="str">
        <f>IF(A212&lt;128,"Codigo","Datos")</f>
        <v>Datos</v>
      </c>
    </row>
    <row r="213" spans="1:6" x14ac:dyDescent="0.3">
      <c r="A213" s="35">
        <v>211</v>
      </c>
      <c r="B213" s="35" t="str">
        <f>DEC2HEX(A213,2)&amp;"h"</f>
        <v>D3h</v>
      </c>
      <c r="C213" s="35" t="str">
        <f>DEC2HEX(INDEX(RAM!A:A,A213+1),2)</f>
        <v>00</v>
      </c>
      <c r="D213" s="35" t="str">
        <f>DEC2BIN(INDEX(RAM!A:A,A213+1),8)</f>
        <v>00000000</v>
      </c>
      <c r="E213" s="35">
        <f>INDEX(RAM!A:A,A213+1)</f>
        <v>0</v>
      </c>
      <c r="F213" s="35" t="str">
        <f>IF(A213&lt;128,"Codigo","Datos")</f>
        <v>Datos</v>
      </c>
    </row>
    <row r="214" spans="1:6" x14ac:dyDescent="0.3">
      <c r="A214" s="35">
        <v>212</v>
      </c>
      <c r="B214" s="35" t="str">
        <f>DEC2HEX(A214,2)&amp;"h"</f>
        <v>D4h</v>
      </c>
      <c r="C214" s="35" t="str">
        <f>DEC2HEX(INDEX(RAM!A:A,A214+1),2)</f>
        <v>00</v>
      </c>
      <c r="D214" s="35" t="str">
        <f>DEC2BIN(INDEX(RAM!A:A,A214+1),8)</f>
        <v>00000000</v>
      </c>
      <c r="E214" s="35">
        <f>INDEX(RAM!A:A,A214+1)</f>
        <v>0</v>
      </c>
      <c r="F214" s="35" t="str">
        <f>IF(A214&lt;128,"Codigo","Datos")</f>
        <v>Datos</v>
      </c>
    </row>
    <row r="215" spans="1:6" x14ac:dyDescent="0.3">
      <c r="A215" s="35">
        <v>213</v>
      </c>
      <c r="B215" s="35" t="str">
        <f>DEC2HEX(A215,2)&amp;"h"</f>
        <v>D5h</v>
      </c>
      <c r="C215" s="35" t="str">
        <f>DEC2HEX(INDEX(RAM!A:A,A215+1),2)</f>
        <v>00</v>
      </c>
      <c r="D215" s="35" t="str">
        <f>DEC2BIN(INDEX(RAM!A:A,A215+1),8)</f>
        <v>00000000</v>
      </c>
      <c r="E215" s="35">
        <f>INDEX(RAM!A:A,A215+1)</f>
        <v>0</v>
      </c>
      <c r="F215" s="35" t="str">
        <f>IF(A215&lt;128,"Codigo","Datos")</f>
        <v>Datos</v>
      </c>
    </row>
    <row r="216" spans="1:6" x14ac:dyDescent="0.3">
      <c r="A216" s="35">
        <v>214</v>
      </c>
      <c r="B216" s="35" t="str">
        <f>DEC2HEX(A216,2)&amp;"h"</f>
        <v>D6h</v>
      </c>
      <c r="C216" s="35" t="str">
        <f>DEC2HEX(INDEX(RAM!A:A,A216+1),2)</f>
        <v>00</v>
      </c>
      <c r="D216" s="35" t="str">
        <f>DEC2BIN(INDEX(RAM!A:A,A216+1),8)</f>
        <v>00000000</v>
      </c>
      <c r="E216" s="35">
        <f>INDEX(RAM!A:A,A216+1)</f>
        <v>0</v>
      </c>
      <c r="F216" s="35" t="str">
        <f>IF(A216&lt;128,"Codigo","Datos")</f>
        <v>Datos</v>
      </c>
    </row>
    <row r="217" spans="1:6" x14ac:dyDescent="0.3">
      <c r="A217" s="35">
        <v>215</v>
      </c>
      <c r="B217" s="35" t="str">
        <f>DEC2HEX(A217,2)&amp;"h"</f>
        <v>D7h</v>
      </c>
      <c r="C217" s="35" t="str">
        <f>DEC2HEX(INDEX(RAM!A:A,A217+1),2)</f>
        <v>00</v>
      </c>
      <c r="D217" s="35" t="str">
        <f>DEC2BIN(INDEX(RAM!A:A,A217+1),8)</f>
        <v>00000000</v>
      </c>
      <c r="E217" s="35">
        <f>INDEX(RAM!A:A,A217+1)</f>
        <v>0</v>
      </c>
      <c r="F217" s="35" t="str">
        <f>IF(A217&lt;128,"Codigo","Datos")</f>
        <v>Datos</v>
      </c>
    </row>
    <row r="218" spans="1:6" x14ac:dyDescent="0.3">
      <c r="A218" s="35">
        <v>216</v>
      </c>
      <c r="B218" s="35" t="str">
        <f>DEC2HEX(A218,2)&amp;"h"</f>
        <v>D8h</v>
      </c>
      <c r="C218" s="35" t="str">
        <f>DEC2HEX(INDEX(RAM!A:A,A218+1),2)</f>
        <v>00</v>
      </c>
      <c r="D218" s="35" t="str">
        <f>DEC2BIN(INDEX(RAM!A:A,A218+1),8)</f>
        <v>00000000</v>
      </c>
      <c r="E218" s="35">
        <f>INDEX(RAM!A:A,A218+1)</f>
        <v>0</v>
      </c>
      <c r="F218" s="35" t="str">
        <f>IF(A218&lt;128,"Codigo","Datos")</f>
        <v>Datos</v>
      </c>
    </row>
    <row r="219" spans="1:6" x14ac:dyDescent="0.3">
      <c r="A219" s="35">
        <v>217</v>
      </c>
      <c r="B219" s="35" t="str">
        <f>DEC2HEX(A219,2)&amp;"h"</f>
        <v>D9h</v>
      </c>
      <c r="C219" s="35" t="str">
        <f>DEC2HEX(INDEX(RAM!A:A,A219+1),2)</f>
        <v>00</v>
      </c>
      <c r="D219" s="35" t="str">
        <f>DEC2BIN(INDEX(RAM!A:A,A219+1),8)</f>
        <v>00000000</v>
      </c>
      <c r="E219" s="35">
        <f>INDEX(RAM!A:A,A219+1)</f>
        <v>0</v>
      </c>
      <c r="F219" s="35" t="str">
        <f>IF(A219&lt;128,"Codigo","Datos")</f>
        <v>Datos</v>
      </c>
    </row>
    <row r="220" spans="1:6" x14ac:dyDescent="0.3">
      <c r="A220" s="35">
        <v>218</v>
      </c>
      <c r="B220" s="35" t="str">
        <f>DEC2HEX(A220,2)&amp;"h"</f>
        <v>DAh</v>
      </c>
      <c r="C220" s="35" t="str">
        <f>DEC2HEX(INDEX(RAM!A:A,A220+1),2)</f>
        <v>00</v>
      </c>
      <c r="D220" s="35" t="str">
        <f>DEC2BIN(INDEX(RAM!A:A,A220+1),8)</f>
        <v>00000000</v>
      </c>
      <c r="E220" s="35">
        <f>INDEX(RAM!A:A,A220+1)</f>
        <v>0</v>
      </c>
      <c r="F220" s="35" t="str">
        <f>IF(A220&lt;128,"Codigo","Datos")</f>
        <v>Datos</v>
      </c>
    </row>
    <row r="221" spans="1:6" x14ac:dyDescent="0.3">
      <c r="A221" s="35">
        <v>219</v>
      </c>
      <c r="B221" s="35" t="str">
        <f>DEC2HEX(A221,2)&amp;"h"</f>
        <v>DBh</v>
      </c>
      <c r="C221" s="35" t="str">
        <f>DEC2HEX(INDEX(RAM!A:A,A221+1),2)</f>
        <v>00</v>
      </c>
      <c r="D221" s="35" t="str">
        <f>DEC2BIN(INDEX(RAM!A:A,A221+1),8)</f>
        <v>00000000</v>
      </c>
      <c r="E221" s="35">
        <f>INDEX(RAM!A:A,A221+1)</f>
        <v>0</v>
      </c>
      <c r="F221" s="35" t="str">
        <f>IF(A221&lt;128,"Codigo","Datos")</f>
        <v>Datos</v>
      </c>
    </row>
    <row r="222" spans="1:6" x14ac:dyDescent="0.3">
      <c r="A222" s="35">
        <v>220</v>
      </c>
      <c r="B222" s="35" t="str">
        <f>DEC2HEX(A222,2)&amp;"h"</f>
        <v>DCh</v>
      </c>
      <c r="C222" s="35" t="str">
        <f>DEC2HEX(INDEX(RAM!A:A,A222+1),2)</f>
        <v>00</v>
      </c>
      <c r="D222" s="35" t="str">
        <f>DEC2BIN(INDEX(RAM!A:A,A222+1),8)</f>
        <v>00000000</v>
      </c>
      <c r="E222" s="35">
        <f>INDEX(RAM!A:A,A222+1)</f>
        <v>0</v>
      </c>
      <c r="F222" s="35" t="str">
        <f>IF(A222&lt;128,"Codigo","Datos")</f>
        <v>Datos</v>
      </c>
    </row>
    <row r="223" spans="1:6" x14ac:dyDescent="0.3">
      <c r="A223" s="35">
        <v>221</v>
      </c>
      <c r="B223" s="35" t="str">
        <f>DEC2HEX(A223,2)&amp;"h"</f>
        <v>DDh</v>
      </c>
      <c r="C223" s="35" t="str">
        <f>DEC2HEX(INDEX(RAM!A:A,A223+1),2)</f>
        <v>00</v>
      </c>
      <c r="D223" s="35" t="str">
        <f>DEC2BIN(INDEX(RAM!A:A,A223+1),8)</f>
        <v>00000000</v>
      </c>
      <c r="E223" s="35">
        <f>INDEX(RAM!A:A,A223+1)</f>
        <v>0</v>
      </c>
      <c r="F223" s="35" t="str">
        <f>IF(A223&lt;128,"Codigo","Datos")</f>
        <v>Datos</v>
      </c>
    </row>
    <row r="224" spans="1:6" x14ac:dyDescent="0.3">
      <c r="A224" s="35">
        <v>222</v>
      </c>
      <c r="B224" s="35" t="str">
        <f>DEC2HEX(A224,2)&amp;"h"</f>
        <v>DEh</v>
      </c>
      <c r="C224" s="35" t="str">
        <f>DEC2HEX(INDEX(RAM!A:A,A224+1),2)</f>
        <v>00</v>
      </c>
      <c r="D224" s="35" t="str">
        <f>DEC2BIN(INDEX(RAM!A:A,A224+1),8)</f>
        <v>00000000</v>
      </c>
      <c r="E224" s="35">
        <f>INDEX(RAM!A:A,A224+1)</f>
        <v>0</v>
      </c>
      <c r="F224" s="35" t="str">
        <f>IF(A224&lt;128,"Codigo","Datos")</f>
        <v>Datos</v>
      </c>
    </row>
    <row r="225" spans="1:6" x14ac:dyDescent="0.3">
      <c r="A225" s="35">
        <v>223</v>
      </c>
      <c r="B225" s="35" t="str">
        <f>DEC2HEX(A225,2)&amp;"h"</f>
        <v>DFh</v>
      </c>
      <c r="C225" s="35" t="str">
        <f>DEC2HEX(INDEX(RAM!A:A,A225+1),2)</f>
        <v>00</v>
      </c>
      <c r="D225" s="35" t="str">
        <f>DEC2BIN(INDEX(RAM!A:A,A225+1),8)</f>
        <v>00000000</v>
      </c>
      <c r="E225" s="35">
        <f>INDEX(RAM!A:A,A225+1)</f>
        <v>0</v>
      </c>
      <c r="F225" s="35" t="str">
        <f>IF(A225&lt;128,"Codigo","Datos")</f>
        <v>Datos</v>
      </c>
    </row>
    <row r="226" spans="1:6" x14ac:dyDescent="0.3">
      <c r="A226" s="35">
        <v>224</v>
      </c>
      <c r="B226" s="35" t="str">
        <f>DEC2HEX(A226,2)&amp;"h"</f>
        <v>E0h</v>
      </c>
      <c r="C226" s="35" t="str">
        <f>DEC2HEX(INDEX(RAM!A:A,A226+1),2)</f>
        <v>00</v>
      </c>
      <c r="D226" s="35" t="str">
        <f>DEC2BIN(INDEX(RAM!A:A,A226+1),8)</f>
        <v>00000000</v>
      </c>
      <c r="E226" s="35">
        <f>INDEX(RAM!A:A,A226+1)</f>
        <v>0</v>
      </c>
      <c r="F226" s="35" t="str">
        <f>IF(A226&lt;128,"Codigo","Datos")</f>
        <v>Datos</v>
      </c>
    </row>
    <row r="227" spans="1:6" x14ac:dyDescent="0.3">
      <c r="A227" s="35">
        <v>225</v>
      </c>
      <c r="B227" s="35" t="str">
        <f>DEC2HEX(A227,2)&amp;"h"</f>
        <v>E1h</v>
      </c>
      <c r="C227" s="35" t="str">
        <f>DEC2HEX(INDEX(RAM!A:A,A227+1),2)</f>
        <v>00</v>
      </c>
      <c r="D227" s="35" t="str">
        <f>DEC2BIN(INDEX(RAM!A:A,A227+1),8)</f>
        <v>00000000</v>
      </c>
      <c r="E227" s="35">
        <f>INDEX(RAM!A:A,A227+1)</f>
        <v>0</v>
      </c>
      <c r="F227" s="35" t="str">
        <f>IF(A227&lt;128,"Codigo","Datos")</f>
        <v>Datos</v>
      </c>
    </row>
    <row r="228" spans="1:6" x14ac:dyDescent="0.3">
      <c r="A228" s="35">
        <v>226</v>
      </c>
      <c r="B228" s="35" t="str">
        <f>DEC2HEX(A228,2)&amp;"h"</f>
        <v>E2h</v>
      </c>
      <c r="C228" s="35" t="str">
        <f>DEC2HEX(INDEX(RAM!A:A,A228+1),2)</f>
        <v>00</v>
      </c>
      <c r="D228" s="35" t="str">
        <f>DEC2BIN(INDEX(RAM!A:A,A228+1),8)</f>
        <v>00000000</v>
      </c>
      <c r="E228" s="35">
        <f>INDEX(RAM!A:A,A228+1)</f>
        <v>0</v>
      </c>
      <c r="F228" s="35" t="str">
        <f>IF(A228&lt;128,"Codigo","Datos")</f>
        <v>Datos</v>
      </c>
    </row>
    <row r="229" spans="1:6" x14ac:dyDescent="0.3">
      <c r="A229" s="35">
        <v>227</v>
      </c>
      <c r="B229" s="35" t="str">
        <f>DEC2HEX(A229,2)&amp;"h"</f>
        <v>E3h</v>
      </c>
      <c r="C229" s="35" t="str">
        <f>DEC2HEX(INDEX(RAM!A:A,A229+1),2)</f>
        <v>00</v>
      </c>
      <c r="D229" s="35" t="str">
        <f>DEC2BIN(INDEX(RAM!A:A,A229+1),8)</f>
        <v>00000000</v>
      </c>
      <c r="E229" s="35">
        <f>INDEX(RAM!A:A,A229+1)</f>
        <v>0</v>
      </c>
      <c r="F229" s="35" t="str">
        <f>IF(A229&lt;128,"Codigo","Datos")</f>
        <v>Datos</v>
      </c>
    </row>
    <row r="230" spans="1:6" x14ac:dyDescent="0.3">
      <c r="A230" s="35">
        <v>228</v>
      </c>
      <c r="B230" s="35" t="str">
        <f>DEC2HEX(A230,2)&amp;"h"</f>
        <v>E4h</v>
      </c>
      <c r="C230" s="35" t="str">
        <f>DEC2HEX(INDEX(RAM!A:A,A230+1),2)</f>
        <v>00</v>
      </c>
      <c r="D230" s="35" t="str">
        <f>DEC2BIN(INDEX(RAM!A:A,A230+1),8)</f>
        <v>00000000</v>
      </c>
      <c r="E230" s="35">
        <f>INDEX(RAM!A:A,A230+1)</f>
        <v>0</v>
      </c>
      <c r="F230" s="35" t="str">
        <f>IF(A230&lt;128,"Codigo","Datos")</f>
        <v>Datos</v>
      </c>
    </row>
    <row r="231" spans="1:6" x14ac:dyDescent="0.3">
      <c r="A231" s="35">
        <v>229</v>
      </c>
      <c r="B231" s="35" t="str">
        <f>DEC2HEX(A231,2)&amp;"h"</f>
        <v>E5h</v>
      </c>
      <c r="C231" s="35" t="str">
        <f>DEC2HEX(INDEX(RAM!A:A,A231+1),2)</f>
        <v>00</v>
      </c>
      <c r="D231" s="35" t="str">
        <f>DEC2BIN(INDEX(RAM!A:A,A231+1),8)</f>
        <v>00000000</v>
      </c>
      <c r="E231" s="35">
        <f>INDEX(RAM!A:A,A231+1)</f>
        <v>0</v>
      </c>
      <c r="F231" s="35" t="str">
        <f>IF(A231&lt;128,"Codigo","Datos")</f>
        <v>Datos</v>
      </c>
    </row>
    <row r="232" spans="1:6" x14ac:dyDescent="0.3">
      <c r="A232" s="35">
        <v>230</v>
      </c>
      <c r="B232" s="35" t="str">
        <f>DEC2HEX(A232,2)&amp;"h"</f>
        <v>E6h</v>
      </c>
      <c r="C232" s="35" t="str">
        <f>DEC2HEX(INDEX(RAM!A:A,A232+1),2)</f>
        <v>00</v>
      </c>
      <c r="D232" s="35" t="str">
        <f>DEC2BIN(INDEX(RAM!A:A,A232+1),8)</f>
        <v>00000000</v>
      </c>
      <c r="E232" s="35">
        <f>INDEX(RAM!A:A,A232+1)</f>
        <v>0</v>
      </c>
      <c r="F232" s="35" t="str">
        <f>IF(A232&lt;128,"Codigo","Datos")</f>
        <v>Datos</v>
      </c>
    </row>
    <row r="233" spans="1:6" x14ac:dyDescent="0.3">
      <c r="A233" s="35">
        <v>231</v>
      </c>
      <c r="B233" s="35" t="str">
        <f>DEC2HEX(A233,2)&amp;"h"</f>
        <v>E7h</v>
      </c>
      <c r="C233" s="35" t="str">
        <f>DEC2HEX(INDEX(RAM!A:A,A233+1),2)</f>
        <v>00</v>
      </c>
      <c r="D233" s="35" t="str">
        <f>DEC2BIN(INDEX(RAM!A:A,A233+1),8)</f>
        <v>00000000</v>
      </c>
      <c r="E233" s="35">
        <f>INDEX(RAM!A:A,A233+1)</f>
        <v>0</v>
      </c>
      <c r="F233" s="35" t="str">
        <f>IF(A233&lt;128,"Codigo","Datos")</f>
        <v>Datos</v>
      </c>
    </row>
    <row r="234" spans="1:6" x14ac:dyDescent="0.3">
      <c r="A234" s="35">
        <v>232</v>
      </c>
      <c r="B234" s="35" t="str">
        <f>DEC2HEX(A234,2)&amp;"h"</f>
        <v>E8h</v>
      </c>
      <c r="C234" s="35" t="str">
        <f>DEC2HEX(INDEX(RAM!A:A,A234+1),2)</f>
        <v>00</v>
      </c>
      <c r="D234" s="35" t="str">
        <f>DEC2BIN(INDEX(RAM!A:A,A234+1),8)</f>
        <v>00000000</v>
      </c>
      <c r="E234" s="35">
        <f>INDEX(RAM!A:A,A234+1)</f>
        <v>0</v>
      </c>
      <c r="F234" s="35" t="str">
        <f>IF(A234&lt;128,"Codigo","Datos")</f>
        <v>Datos</v>
      </c>
    </row>
    <row r="235" spans="1:6" x14ac:dyDescent="0.3">
      <c r="A235" s="35">
        <v>233</v>
      </c>
      <c r="B235" s="35" t="str">
        <f>DEC2HEX(A235,2)&amp;"h"</f>
        <v>E9h</v>
      </c>
      <c r="C235" s="35" t="str">
        <f>DEC2HEX(INDEX(RAM!A:A,A235+1),2)</f>
        <v>00</v>
      </c>
      <c r="D235" s="35" t="str">
        <f>DEC2BIN(INDEX(RAM!A:A,A235+1),8)</f>
        <v>00000000</v>
      </c>
      <c r="E235" s="35">
        <f>INDEX(RAM!A:A,A235+1)</f>
        <v>0</v>
      </c>
      <c r="F235" s="35" t="str">
        <f>IF(A235&lt;128,"Codigo","Datos")</f>
        <v>Datos</v>
      </c>
    </row>
    <row r="236" spans="1:6" x14ac:dyDescent="0.3">
      <c r="A236" s="35">
        <v>234</v>
      </c>
      <c r="B236" s="35" t="str">
        <f>DEC2HEX(A236,2)&amp;"h"</f>
        <v>EAh</v>
      </c>
      <c r="C236" s="35" t="str">
        <f>DEC2HEX(INDEX(RAM!A:A,A236+1),2)</f>
        <v>00</v>
      </c>
      <c r="D236" s="35" t="str">
        <f>DEC2BIN(INDEX(RAM!A:A,A236+1),8)</f>
        <v>00000000</v>
      </c>
      <c r="E236" s="35">
        <f>INDEX(RAM!A:A,A236+1)</f>
        <v>0</v>
      </c>
      <c r="F236" s="35" t="str">
        <f>IF(A236&lt;128,"Codigo","Datos")</f>
        <v>Datos</v>
      </c>
    </row>
    <row r="237" spans="1:6" x14ac:dyDescent="0.3">
      <c r="A237" s="35">
        <v>235</v>
      </c>
      <c r="B237" s="35" t="str">
        <f>DEC2HEX(A237,2)&amp;"h"</f>
        <v>EBh</v>
      </c>
      <c r="C237" s="35" t="str">
        <f>DEC2HEX(INDEX(RAM!A:A,A237+1),2)</f>
        <v>00</v>
      </c>
      <c r="D237" s="35" t="str">
        <f>DEC2BIN(INDEX(RAM!A:A,A237+1),8)</f>
        <v>00000000</v>
      </c>
      <c r="E237" s="35">
        <f>INDEX(RAM!A:A,A237+1)</f>
        <v>0</v>
      </c>
      <c r="F237" s="35" t="str">
        <f>IF(A237&lt;128,"Codigo","Datos")</f>
        <v>Datos</v>
      </c>
    </row>
    <row r="238" spans="1:6" x14ac:dyDescent="0.3">
      <c r="A238" s="35">
        <v>236</v>
      </c>
      <c r="B238" s="35" t="str">
        <f>DEC2HEX(A238,2)&amp;"h"</f>
        <v>ECh</v>
      </c>
      <c r="C238" s="35" t="str">
        <f>DEC2HEX(INDEX(RAM!A:A,A238+1),2)</f>
        <v>00</v>
      </c>
      <c r="D238" s="35" t="str">
        <f>DEC2BIN(INDEX(RAM!A:A,A238+1),8)</f>
        <v>00000000</v>
      </c>
      <c r="E238" s="35">
        <f>INDEX(RAM!A:A,A238+1)</f>
        <v>0</v>
      </c>
      <c r="F238" s="35" t="str">
        <f>IF(A238&lt;128,"Codigo","Datos")</f>
        <v>Datos</v>
      </c>
    </row>
    <row r="239" spans="1:6" x14ac:dyDescent="0.3">
      <c r="A239" s="35">
        <v>237</v>
      </c>
      <c r="B239" s="35" t="str">
        <f>DEC2HEX(A239,2)&amp;"h"</f>
        <v>EDh</v>
      </c>
      <c r="C239" s="35" t="str">
        <f>DEC2HEX(INDEX(RAM!A:A,A239+1),2)</f>
        <v>00</v>
      </c>
      <c r="D239" s="35" t="str">
        <f>DEC2BIN(INDEX(RAM!A:A,A239+1),8)</f>
        <v>00000000</v>
      </c>
      <c r="E239" s="35">
        <f>INDEX(RAM!A:A,A239+1)</f>
        <v>0</v>
      </c>
      <c r="F239" s="35" t="str">
        <f>IF(A239&lt;128,"Codigo","Datos")</f>
        <v>Datos</v>
      </c>
    </row>
    <row r="240" spans="1:6" x14ac:dyDescent="0.3">
      <c r="A240" s="35">
        <v>238</v>
      </c>
      <c r="B240" s="35" t="str">
        <f>DEC2HEX(A240,2)&amp;"h"</f>
        <v>EEh</v>
      </c>
      <c r="C240" s="35" t="str">
        <f>DEC2HEX(INDEX(RAM!A:A,A240+1),2)</f>
        <v>00</v>
      </c>
      <c r="D240" s="35" t="str">
        <f>DEC2BIN(INDEX(RAM!A:A,A240+1),8)</f>
        <v>00000000</v>
      </c>
      <c r="E240" s="35">
        <f>INDEX(RAM!A:A,A240+1)</f>
        <v>0</v>
      </c>
      <c r="F240" s="35" t="str">
        <f>IF(A240&lt;128,"Codigo","Datos")</f>
        <v>Datos</v>
      </c>
    </row>
    <row r="241" spans="1:6" x14ac:dyDescent="0.3">
      <c r="A241" s="35">
        <v>239</v>
      </c>
      <c r="B241" s="35" t="str">
        <f>DEC2HEX(A241,2)&amp;"h"</f>
        <v>EFh</v>
      </c>
      <c r="C241" s="35" t="str">
        <f>DEC2HEX(INDEX(RAM!A:A,A241+1),2)</f>
        <v>00</v>
      </c>
      <c r="D241" s="35" t="str">
        <f>DEC2BIN(INDEX(RAM!A:A,A241+1),8)</f>
        <v>00000000</v>
      </c>
      <c r="E241" s="35">
        <f>INDEX(RAM!A:A,A241+1)</f>
        <v>0</v>
      </c>
      <c r="F241" s="35" t="str">
        <f>IF(A241&lt;128,"Codigo","Datos")</f>
        <v>Datos</v>
      </c>
    </row>
    <row r="242" spans="1:6" x14ac:dyDescent="0.3">
      <c r="A242" s="35">
        <v>240</v>
      </c>
      <c r="B242" s="35" t="str">
        <f>DEC2HEX(A242,2)&amp;"h"</f>
        <v>F0h</v>
      </c>
      <c r="C242" s="35" t="str">
        <f>DEC2HEX(INDEX(RAM!A:A,A242+1),2)</f>
        <v>00</v>
      </c>
      <c r="D242" s="35" t="str">
        <f>DEC2BIN(INDEX(RAM!A:A,A242+1),8)</f>
        <v>00000000</v>
      </c>
      <c r="E242" s="35">
        <f>INDEX(RAM!A:A,A242+1)</f>
        <v>0</v>
      </c>
      <c r="F242" s="35" t="str">
        <f>IF(A242&lt;128,"Codigo","Datos")</f>
        <v>Datos</v>
      </c>
    </row>
    <row r="243" spans="1:6" x14ac:dyDescent="0.3">
      <c r="A243" s="35">
        <v>241</v>
      </c>
      <c r="B243" s="35" t="str">
        <f>DEC2HEX(A243,2)&amp;"h"</f>
        <v>F1h</v>
      </c>
      <c r="C243" s="35" t="str">
        <f>DEC2HEX(INDEX(RAM!A:A,A243+1),2)</f>
        <v>00</v>
      </c>
      <c r="D243" s="35" t="str">
        <f>DEC2BIN(INDEX(RAM!A:A,A243+1),8)</f>
        <v>00000000</v>
      </c>
      <c r="E243" s="35">
        <f>INDEX(RAM!A:A,A243+1)</f>
        <v>0</v>
      </c>
      <c r="F243" s="35" t="str">
        <f>IF(A243&lt;128,"Codigo","Datos")</f>
        <v>Datos</v>
      </c>
    </row>
    <row r="244" spans="1:6" x14ac:dyDescent="0.3">
      <c r="A244" s="35">
        <v>242</v>
      </c>
      <c r="B244" s="35" t="str">
        <f>DEC2HEX(A244,2)&amp;"h"</f>
        <v>F2h</v>
      </c>
      <c r="C244" s="35" t="str">
        <f>DEC2HEX(INDEX(RAM!A:A,A244+1),2)</f>
        <v>00</v>
      </c>
      <c r="D244" s="35" t="str">
        <f>DEC2BIN(INDEX(RAM!A:A,A244+1),8)</f>
        <v>00000000</v>
      </c>
      <c r="E244" s="35">
        <f>INDEX(RAM!A:A,A244+1)</f>
        <v>0</v>
      </c>
      <c r="F244" s="35" t="str">
        <f>IF(A244&lt;128,"Codigo","Datos")</f>
        <v>Datos</v>
      </c>
    </row>
    <row r="245" spans="1:6" x14ac:dyDescent="0.3">
      <c r="A245" s="35">
        <v>243</v>
      </c>
      <c r="B245" s="35" t="str">
        <f>DEC2HEX(A245,2)&amp;"h"</f>
        <v>F3h</v>
      </c>
      <c r="C245" s="35" t="str">
        <f>DEC2HEX(INDEX(RAM!A:A,A245+1),2)</f>
        <v>00</v>
      </c>
      <c r="D245" s="35" t="str">
        <f>DEC2BIN(INDEX(RAM!A:A,A245+1),8)</f>
        <v>00000000</v>
      </c>
      <c r="E245" s="35">
        <f>INDEX(RAM!A:A,A245+1)</f>
        <v>0</v>
      </c>
      <c r="F245" s="35" t="str">
        <f>IF(A245&lt;128,"Codigo","Datos")</f>
        <v>Datos</v>
      </c>
    </row>
    <row r="246" spans="1:6" x14ac:dyDescent="0.3">
      <c r="A246" s="35">
        <v>244</v>
      </c>
      <c r="B246" s="35" t="str">
        <f>DEC2HEX(A246,2)&amp;"h"</f>
        <v>F4h</v>
      </c>
      <c r="C246" s="35" t="str">
        <f>DEC2HEX(INDEX(RAM!A:A,A246+1),2)</f>
        <v>00</v>
      </c>
      <c r="D246" s="35" t="str">
        <f>DEC2BIN(INDEX(RAM!A:A,A246+1),8)</f>
        <v>00000000</v>
      </c>
      <c r="E246" s="35">
        <f>INDEX(RAM!A:A,A246+1)</f>
        <v>0</v>
      </c>
      <c r="F246" s="35" t="str">
        <f>IF(A246&lt;128,"Codigo","Datos")</f>
        <v>Datos</v>
      </c>
    </row>
    <row r="247" spans="1:6" x14ac:dyDescent="0.3">
      <c r="A247" s="35">
        <v>245</v>
      </c>
      <c r="B247" s="35" t="str">
        <f>DEC2HEX(A247,2)&amp;"h"</f>
        <v>F5h</v>
      </c>
      <c r="C247" s="35" t="str">
        <f>DEC2HEX(INDEX(RAM!A:A,A247+1),2)</f>
        <v>00</v>
      </c>
      <c r="D247" s="35" t="str">
        <f>DEC2BIN(INDEX(RAM!A:A,A247+1),8)</f>
        <v>00000000</v>
      </c>
      <c r="E247" s="35">
        <f>INDEX(RAM!A:A,A247+1)</f>
        <v>0</v>
      </c>
      <c r="F247" s="35" t="str">
        <f>IF(A247&lt;128,"Codigo","Datos")</f>
        <v>Datos</v>
      </c>
    </row>
    <row r="248" spans="1:6" x14ac:dyDescent="0.3">
      <c r="A248" s="35">
        <v>246</v>
      </c>
      <c r="B248" s="35" t="str">
        <f>DEC2HEX(A248,2)&amp;"h"</f>
        <v>F6h</v>
      </c>
      <c r="C248" s="35" t="str">
        <f>DEC2HEX(INDEX(RAM!A:A,A248+1),2)</f>
        <v>00</v>
      </c>
      <c r="D248" s="35" t="str">
        <f>DEC2BIN(INDEX(RAM!A:A,A248+1),8)</f>
        <v>00000000</v>
      </c>
      <c r="E248" s="35">
        <f>INDEX(RAM!A:A,A248+1)</f>
        <v>0</v>
      </c>
      <c r="F248" s="35" t="str">
        <f>IF(A248&lt;128,"Codigo","Datos")</f>
        <v>Datos</v>
      </c>
    </row>
    <row r="249" spans="1:6" x14ac:dyDescent="0.3">
      <c r="A249" s="35">
        <v>247</v>
      </c>
      <c r="B249" s="35" t="str">
        <f>DEC2HEX(A249,2)&amp;"h"</f>
        <v>F7h</v>
      </c>
      <c r="C249" s="35" t="str">
        <f>DEC2HEX(INDEX(RAM!A:A,A249+1),2)</f>
        <v>00</v>
      </c>
      <c r="D249" s="35" t="str">
        <f>DEC2BIN(INDEX(RAM!A:A,A249+1),8)</f>
        <v>00000000</v>
      </c>
      <c r="E249" s="35">
        <f>INDEX(RAM!A:A,A249+1)</f>
        <v>0</v>
      </c>
      <c r="F249" s="35" t="str">
        <f>IF(A249&lt;128,"Codigo","Datos")</f>
        <v>Datos</v>
      </c>
    </row>
    <row r="250" spans="1:6" x14ac:dyDescent="0.3">
      <c r="A250" s="35">
        <v>248</v>
      </c>
      <c r="B250" s="35" t="str">
        <f>DEC2HEX(A250,2)&amp;"h"</f>
        <v>F8h</v>
      </c>
      <c r="C250" s="35" t="str">
        <f>DEC2HEX(INDEX(RAM!A:A,A250+1),2)</f>
        <v>00</v>
      </c>
      <c r="D250" s="35" t="str">
        <f>DEC2BIN(INDEX(RAM!A:A,A250+1),8)</f>
        <v>00000000</v>
      </c>
      <c r="E250" s="35">
        <f>INDEX(RAM!A:A,A250+1)</f>
        <v>0</v>
      </c>
      <c r="F250" s="35" t="str">
        <f>IF(A250&lt;128,"Codigo","Datos")</f>
        <v>Datos</v>
      </c>
    </row>
    <row r="251" spans="1:6" x14ac:dyDescent="0.3">
      <c r="A251" s="35">
        <v>249</v>
      </c>
      <c r="B251" s="35" t="str">
        <f>DEC2HEX(A251,2)&amp;"h"</f>
        <v>F9h</v>
      </c>
      <c r="C251" s="35" t="str">
        <f>DEC2HEX(INDEX(RAM!A:A,A251+1),2)</f>
        <v>00</v>
      </c>
      <c r="D251" s="35" t="str">
        <f>DEC2BIN(INDEX(RAM!A:A,A251+1),8)</f>
        <v>00000000</v>
      </c>
      <c r="E251" s="35">
        <f>INDEX(RAM!A:A,A251+1)</f>
        <v>0</v>
      </c>
      <c r="F251" s="35" t="str">
        <f>IF(A251&lt;128,"Codigo","Datos")</f>
        <v>Datos</v>
      </c>
    </row>
    <row r="252" spans="1:6" x14ac:dyDescent="0.3">
      <c r="A252" s="35">
        <v>250</v>
      </c>
      <c r="B252" s="35" t="str">
        <f>DEC2HEX(A252,2)&amp;"h"</f>
        <v>FAh</v>
      </c>
      <c r="C252" s="35" t="str">
        <f>DEC2HEX(INDEX(RAM!A:A,A252+1),2)</f>
        <v>00</v>
      </c>
      <c r="D252" s="35" t="str">
        <f>DEC2BIN(INDEX(RAM!A:A,A252+1),8)</f>
        <v>00000000</v>
      </c>
      <c r="E252" s="35">
        <f>INDEX(RAM!A:A,A252+1)</f>
        <v>0</v>
      </c>
      <c r="F252" s="35" t="str">
        <f>IF(A252&lt;128,"Codigo","Datos")</f>
        <v>Datos</v>
      </c>
    </row>
    <row r="253" spans="1:6" x14ac:dyDescent="0.3">
      <c r="A253" s="35">
        <v>251</v>
      </c>
      <c r="B253" s="35" t="str">
        <f>DEC2HEX(A253,2)&amp;"h"</f>
        <v>FBh</v>
      </c>
      <c r="C253" s="35" t="str">
        <f>DEC2HEX(INDEX(RAM!A:A,A253+1),2)</f>
        <v>00</v>
      </c>
      <c r="D253" s="35" t="str">
        <f>DEC2BIN(INDEX(RAM!A:A,A253+1),8)</f>
        <v>00000000</v>
      </c>
      <c r="E253" s="35">
        <f>INDEX(RAM!A:A,A253+1)</f>
        <v>0</v>
      </c>
      <c r="F253" s="35" t="str">
        <f>IF(A253&lt;128,"Codigo","Datos")</f>
        <v>Datos</v>
      </c>
    </row>
    <row r="254" spans="1:6" x14ac:dyDescent="0.3">
      <c r="A254" s="35">
        <v>252</v>
      </c>
      <c r="B254" s="35" t="str">
        <f>DEC2HEX(A254,2)&amp;"h"</f>
        <v>FCh</v>
      </c>
      <c r="C254" s="35" t="str">
        <f>DEC2HEX(INDEX(RAM!A:A,A254+1),2)</f>
        <v>00</v>
      </c>
      <c r="D254" s="35" t="str">
        <f>DEC2BIN(INDEX(RAM!A:A,A254+1),8)</f>
        <v>00000000</v>
      </c>
      <c r="E254" s="35">
        <f>INDEX(RAM!A:A,A254+1)</f>
        <v>0</v>
      </c>
      <c r="F254" s="35" t="str">
        <f>IF(A254&lt;128,"Codigo","Datos")</f>
        <v>Datos</v>
      </c>
    </row>
    <row r="255" spans="1:6" x14ac:dyDescent="0.3">
      <c r="A255" s="35">
        <v>253</v>
      </c>
      <c r="B255" s="35" t="str">
        <f>DEC2HEX(A255,2)&amp;"h"</f>
        <v>FDh</v>
      </c>
      <c r="C255" s="35" t="str">
        <f>DEC2HEX(INDEX(RAM!A:A,A255+1),2)</f>
        <v>00</v>
      </c>
      <c r="D255" s="35" t="str">
        <f>DEC2BIN(INDEX(RAM!A:A,A255+1),8)</f>
        <v>00000000</v>
      </c>
      <c r="E255" s="35">
        <f>INDEX(RAM!A:A,A255+1)</f>
        <v>0</v>
      </c>
      <c r="F255" s="35" t="str">
        <f>IF(A255&lt;128,"Codigo","Datos")</f>
        <v>Datos</v>
      </c>
    </row>
    <row r="256" spans="1:6" x14ac:dyDescent="0.3">
      <c r="A256" s="35">
        <v>254</v>
      </c>
      <c r="B256" s="35" t="str">
        <f>DEC2HEX(A256,2)&amp;"h"</f>
        <v>FEh</v>
      </c>
      <c r="C256" s="35" t="str">
        <f>DEC2HEX(INDEX(RAM!A:A,A256+1),2)</f>
        <v>00</v>
      </c>
      <c r="D256" s="35" t="str">
        <f>DEC2BIN(INDEX(RAM!A:A,A256+1),8)</f>
        <v>00000000</v>
      </c>
      <c r="E256" s="35">
        <f>INDEX(RAM!A:A,A256+1)</f>
        <v>0</v>
      </c>
      <c r="F256" s="35" t="str">
        <f>IF(A256&lt;128,"Codigo","Datos")</f>
        <v>Datos</v>
      </c>
    </row>
    <row r="257" spans="1:6" x14ac:dyDescent="0.3">
      <c r="A257" s="35">
        <v>255</v>
      </c>
      <c r="B257" s="35" t="str">
        <f>DEC2HEX(A257,2)&amp;"h"</f>
        <v>FFh</v>
      </c>
      <c r="C257" s="35" t="str">
        <f>DEC2HEX(INDEX(RAM!A:A,A257+1),2)</f>
        <v>00</v>
      </c>
      <c r="D257" s="35" t="str">
        <f>DEC2BIN(INDEX(RAM!A:A,A257+1),8)</f>
        <v>00000000</v>
      </c>
      <c r="E257" s="35">
        <f>INDEX(RAM!A:A,A257+1)</f>
        <v>0</v>
      </c>
      <c r="F257" s="35" t="str">
        <f>IF(A257&lt;128,"Codigo","Datos")</f>
        <v>Datos</v>
      </c>
    </row>
  </sheetData>
  <sheetProtection sheet="1" objects="1" scenarios="1"/>
  <autoFilter ref="A1:F257" xr:uid="{BCF1C31E-F001-4E0A-BD4E-BDA9469FB11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CPU</vt:lpstr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2026-09-29T19:56:07Z</dcterms:created>
  <dcterms:modified xsi:type="dcterms:W3CDTF">2026-09-29T19:56:22Z</dcterms:modified>
</cp:coreProperties>
</file>